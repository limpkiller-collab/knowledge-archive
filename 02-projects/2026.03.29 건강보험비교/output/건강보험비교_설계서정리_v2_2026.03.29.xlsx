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baebae/Documents/Claude/02-projects/2026.03.29 건강보험비교/output/"/>
    </mc:Choice>
  </mc:AlternateContent>
  <xr:revisionPtr revIDLastSave="0" documentId="13_ncr:1_{4C74B732-C4BC-0548-B46D-E53EA1295573}" xr6:coauthVersionLast="47" xr6:coauthVersionMax="47" xr10:uidLastSave="{00000000-0000-0000-0000-000000000000}"/>
  <bookViews>
    <workbookView xWindow="0" yWindow="600" windowWidth="27080" windowHeight="26420" activeTab="2" xr2:uid="{00000000-000D-0000-FFFF-FFFF00000000}"/>
  </bookViews>
  <sheets>
    <sheet name="가입개요 비교" sheetId="2" r:id="rId1"/>
    <sheet name="보장분석 체크리스트" sheetId="5" r:id="rId2"/>
    <sheet name="보장항목 비교" sheetId="3" r:id="rId3"/>
    <sheet name="보장분석표" sheetId="1" r:id="rId4"/>
    <sheet name="보험료 구성" sheetId="4" r:id="rId5"/>
    <sheet name="설계사 질문 리스트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5" l="1"/>
  <c r="F52" i="5"/>
  <c r="F47" i="1"/>
  <c r="F6" i="1"/>
</calcChain>
</file>

<file path=xl/sharedStrings.xml><?xml version="1.0" encoding="utf-8"?>
<sst xmlns="http://schemas.openxmlformats.org/spreadsheetml/2006/main" count="1108" uniqueCount="608">
  <si>
    <t>보험상품별 보장분석표 (배상은 · 장아영)</t>
  </si>
  <si>
    <t>※ 금액 단위: 만원 | 아영 기존 = 토스 보장분석표 기준(DB생명+삼성화재+KB손해 합산) | 신규 = 이번 DB손해보험 설계서</t>
  </si>
  <si>
    <t>구분</t>
  </si>
  <si>
    <t>장아영 (배우자)</t>
  </si>
  <si>
    <t>배상은 (본인)</t>
  </si>
  <si>
    <t>항목 설명</t>
  </si>
  <si>
    <t>기존
(DB생명 등)</t>
  </si>
  <si>
    <t>신규
(DB손해)</t>
  </si>
  <si>
    <t>합계</t>
  </si>
  <si>
    <t>평가</t>
  </si>
  <si>
    <t>월 보험료</t>
  </si>
  <si>
    <t>169,079</t>
  </si>
  <si>
    <t>75,699</t>
  </si>
  <si>
    <t>128,642</t>
  </si>
  <si>
    <t>아영 기존 169,079 + 신규 75,699 / 상은 신규 128,642</t>
  </si>
  <si>
    <t>사망</t>
  </si>
  <si>
    <t>일반사망(종신)</t>
  </si>
  <si>
    <t>-</t>
  </si>
  <si>
    <t>종신보험의 사망보장. 손해보험에서는 보장하지 않는 항목</t>
  </si>
  <si>
    <t>질병사망</t>
  </si>
  <si>
    <t>5,300</t>
  </si>
  <si>
    <t>OK</t>
  </si>
  <si>
    <t>질병으로 사망 시 보험금 지급. 아영 기존 DB생명 종신보험에서 보장</t>
  </si>
  <si>
    <t>상해사망</t>
  </si>
  <si>
    <t>100</t>
  </si>
  <si>
    <t>5,400</t>
  </si>
  <si>
    <t>상해사고로 사망 시 보험금 지급. 신규는 상해사망후유장해에 포함</t>
  </si>
  <si>
    <t>질병후유장해</t>
  </si>
  <si>
    <t>검토필요</t>
  </si>
  <si>
    <t>질병으로 인한 후유장해 보장. 현재 두 분 모두 없음</t>
  </si>
  <si>
    <t>상해후유장해</t>
  </si>
  <si>
    <t>5,000</t>
  </si>
  <si>
    <t>5,100</t>
  </si>
  <si>
    <t>상해사고로 후유장해(3~100%) 발생 시 장해지급률에 따라 지급</t>
  </si>
  <si>
    <t>암</t>
  </si>
  <si>
    <t>일반암(유사암제외)</t>
  </si>
  <si>
    <t>5,200</t>
  </si>
  <si>
    <t>1,000</t>
  </si>
  <si>
    <t>6,200</t>
  </si>
  <si>
    <t>암 진단 시 가입금액 지급. 유사암 제외. 가장 핵심적인 암보험 항목</t>
  </si>
  <si>
    <t>유사암</t>
  </si>
  <si>
    <t>200</t>
  </si>
  <si>
    <t>갑상선암·경계성종양·제자리암 등 유사암 진단 시 지급</t>
  </si>
  <si>
    <t>암수술비</t>
  </si>
  <si>
    <t>암 수술 시 별도 수술비 지급. 현재 별도 항목 없음 (주요치료비에 포함)</t>
  </si>
  <si>
    <t>암입원비</t>
  </si>
  <si>
    <t>암으로 입원 시 일당 지급. 현재 두 분 모두 없음</t>
  </si>
  <si>
    <t>항암치료</t>
  </si>
  <si>
    <t>항암방사선·약물 치료 시 가입금액 지급 (유사암 포함)</t>
  </si>
  <si>
    <t>비급여표적항암치료비</t>
  </si>
  <si>
    <t>비급여 표적항암제 치료 시 가입금액 지급. 고가 항암치료 핵심 대비</t>
  </si>
  <si>
    <t>항암중입자방사선치료비</t>
  </si>
  <si>
    <t>최신 중입자 방사선 치료 시 가입금액 지급 (최초1회)</t>
  </si>
  <si>
    <t>암주요치료비
(상급종합병원·10년)</t>
  </si>
  <si>
    <t>상급종합병원에서 암 주요치료 시 연간1회, 최대10년 지급</t>
  </si>
  <si>
    <t>비급여암주요치료비
(연간8천만원한도)</t>
  </si>
  <si>
    <t>8,000</t>
  </si>
  <si>
    <t>비급여 암치료비를 항목별로 연간 8천만원 한도 내 실질 보장</t>
  </si>
  <si>
    <t>2대
질병</t>
  </si>
  <si>
    <t>뇌혈관질환</t>
  </si>
  <si>
    <t>뇌혈관질환(뇌경색·뇌출혈 등 광범위) 진단 시 가입금액 지급</t>
  </si>
  <si>
    <t>뇌졸중</t>
  </si>
  <si>
    <t>뇌졸중 진단 시 지급. "뇌혈관질환"보다 보장 범위가 좁음</t>
  </si>
  <si>
    <t>뇌출혈</t>
  </si>
  <si>
    <t>2,000</t>
  </si>
  <si>
    <t>뇌출혈 진단 시 지급. 아영 기존 DB생명에서 보장</t>
  </si>
  <si>
    <t>허혈성심장질환</t>
  </si>
  <si>
    <t>허혈심장질환(협심증·심근경색 등) 진단 시 가입금액 지급</t>
  </si>
  <si>
    <t>급성심근경색</t>
  </si>
  <si>
    <t>급성심근경색 진단 시 지급. 아영 기존 DB생명에서 보장</t>
  </si>
  <si>
    <t>뇌혈관수술비</t>
  </si>
  <si>
    <t>뇌혈관 질환 수술 시 별도 수술비. 순환계질환 치료비에 포함 가능</t>
  </si>
  <si>
    <t>심혈관수술비</t>
  </si>
  <si>
    <t>심혈관 질환 수술 시 별도 수술비. 순환계질환 치료비에 포함 가능</t>
  </si>
  <si>
    <t>순환계
질환</t>
  </si>
  <si>
    <t>순환계질환수술비
(3-5종)(매회)</t>
  </si>
  <si>
    <t>순환계질환(3-5종) 수술 시 매 수술마다 가입금액 지급</t>
  </si>
  <si>
    <t>순환계질환
중환자실입원(연1회)</t>
  </si>
  <si>
    <t>종합병원 중환자실 입원 시 연간1회 가입금액 지급</t>
  </si>
  <si>
    <t>순환계질환 혈전용해
(뇌혈관)(연1회)</t>
  </si>
  <si>
    <t>뇌혈관질환 혈전용해치료 시 연간1회 가입금액 지급</t>
  </si>
  <si>
    <t>순환계질환 혈전용해
(심혈관,기타)(연1회)</t>
  </si>
  <si>
    <t>심혈관·기타 혈전용해치료 시 연간1회 가입금액 지급</t>
  </si>
  <si>
    <t>일상생활배상책임</t>
  </si>
  <si>
    <t>타인에게 손해 끼친 경우 보장. 실손보험에 포함된 경우 많음</t>
  </si>
  <si>
    <t>기타</t>
  </si>
  <si>
    <t>질병수술비(1-5종)</t>
  </si>
  <si>
    <t>250</t>
  </si>
  <si>
    <t>20~500</t>
  </si>
  <si>
    <t>합산</t>
  </si>
  <si>
    <t>30~1,000</t>
  </si>
  <si>
    <t>질병 수술 시 종류(1-5종)별 가입금액 지급. 종별 상세 금액 상이</t>
  </si>
  <si>
    <t>질병중수술비</t>
  </si>
  <si>
    <t>고난이도 질병수술 별도 보장. 1-5종 수술비에 통합</t>
  </si>
  <si>
    <t>상해수술비</t>
  </si>
  <si>
    <t>100+20~1,000</t>
  </si>
  <si>
    <t>상해사고 수술 시 가입금액 지급. 상은은 동일사고당+1-5종 모두 보장</t>
  </si>
  <si>
    <t>상해중수술비</t>
  </si>
  <si>
    <t>고난이도 상해수술 별도 보장. 1-5종 수술비에 통합</t>
  </si>
  <si>
    <t>골절 진단비</t>
  </si>
  <si>
    <t>20</t>
  </si>
  <si>
    <t>50+100</t>
  </si>
  <si>
    <t>골절 진단 시 지급. 상은: 골절진단비50만+5대골절100만</t>
  </si>
  <si>
    <t>화상 진단비</t>
  </si>
  <si>
    <t>50</t>
  </si>
  <si>
    <t>심재성2도 이상 화상 진단 시 가입금액 지급 (1사고당)</t>
  </si>
  <si>
    <t>중대한화상부식</t>
  </si>
  <si>
    <t>중대한 화상·부식으로 진단 시 가입금액 지급 (1회한)</t>
  </si>
  <si>
    <t>질병입원</t>
  </si>
  <si>
    <t>2</t>
  </si>
  <si>
    <t>기존유지</t>
  </si>
  <si>
    <t>질병 입원 시 1일당 지급. 아영 기존에만 있음(2만원/일)</t>
  </si>
  <si>
    <t>상해입원</t>
  </si>
  <si>
    <t>상해 입원 시 1일당 지급. 아영 기존에만 있음(2만원/일)</t>
  </si>
  <si>
    <t>장기
이식</t>
  </si>
  <si>
    <t>5대장기이식수술비</t>
  </si>
  <si>
    <t>3,000</t>
  </si>
  <si>
    <t>간·신장·심장·췌장·폐 이식수술 시 가입금액 지급 (최초1회)</t>
  </si>
  <si>
    <t>각막이식수술비</t>
  </si>
  <si>
    <t>각막이식수술 시 가입금액 지급 (최초1회)</t>
  </si>
  <si>
    <t>조혈모세포이식수술비</t>
  </si>
  <si>
    <t>조혈모세포(골수) 이식수술 시 가입금액 지급 (최초1회)</t>
  </si>
  <si>
    <t>기타
진단</t>
  </si>
  <si>
    <t>양성뇌종양진단비</t>
  </si>
  <si>
    <t>500</t>
  </si>
  <si>
    <t>양성 뇌종양 진단 시 가입금액 지급 (1회한)</t>
  </si>
  <si>
    <t>보험료납입면제</t>
  </si>
  <si>
    <t>있음(10대사유)</t>
  </si>
  <si>
    <t>있음(7대사유)</t>
  </si>
  <si>
    <t>중대질환 진단 시 이후 보험료 납입 면제</t>
  </si>
  <si>
    <t>월 보험료 합계</t>
  </si>
  <si>
    <t>모든 보험 합산 월 373,420원 (기존169,079 + 신규204,341)</t>
  </si>
  <si>
    <t>DB손해보험 건강보험 설계서 비교</t>
  </si>
  <si>
    <t>작성일: 2026.03.29</t>
  </si>
  <si>
    <t>비고/설명</t>
  </si>
  <si>
    <t>보험회사</t>
  </si>
  <si>
    <t>DB손해보험</t>
  </si>
  <si>
    <t>동일 보험사</t>
  </si>
  <si>
    <t>상품명</t>
  </si>
  <si>
    <t>청춘어람플러스 종합보험2601</t>
  </si>
  <si>
    <t>행복플러스종합보험2601</t>
  </si>
  <si>
    <t>상품명이 다름 (연령대별 상품 구분)</t>
  </si>
  <si>
    <t>가입유형</t>
  </si>
  <si>
    <t>09종 건강고지9년</t>
  </si>
  <si>
    <t>18종 건강고지8년</t>
  </si>
  <si>
    <t>건강고지 기간이 다름</t>
  </si>
  <si>
    <t>대상연령</t>
  </si>
  <si>
    <t>10~40세</t>
  </si>
  <si>
    <t>41~75세</t>
  </si>
  <si>
    <t>연령대에 맞는 상품 배정</t>
  </si>
  <si>
    <t>만기</t>
  </si>
  <si>
    <t>90세만기</t>
  </si>
  <si>
    <t>동일</t>
  </si>
  <si>
    <t>납입기간</t>
  </si>
  <si>
    <t>20년납</t>
  </si>
  <si>
    <t>납입방법</t>
  </si>
  <si>
    <t>월납</t>
  </si>
  <si>
    <t>128,642원</t>
  </si>
  <si>
    <t>75,699원</t>
  </si>
  <si>
    <t>합계 월 204,341원</t>
  </si>
  <si>
    <t>보장보험료</t>
  </si>
  <si>
    <t>전액 보장보험료 (적립 0원)</t>
  </si>
  <si>
    <t>해약환급금 유형</t>
  </si>
  <si>
    <t>무(저)해지 플랜</t>
  </si>
  <si>
    <t>납입기간 중 해약환급금 없음</t>
  </si>
  <si>
    <t>보험료 납입면제</t>
  </si>
  <si>
    <t>있음 (7가지 사유)</t>
  </si>
  <si>
    <t>있음 (9가지 사유)</t>
  </si>
  <si>
    <t>중대질환 진단 시 보험료 면제</t>
  </si>
  <si>
    <t>보장제한 특이사항</t>
  </si>
  <si>
    <t>왼쪽 어깨 3년 보장제한</t>
  </si>
  <si>
    <t>없음</t>
  </si>
  <si>
    <t>상은님 기존 어깨 질환으로 인한 부담보</t>
  </si>
  <si>
    <t>설계사(PA)</t>
  </si>
  <si>
    <t>토스인슈어런스_본점(장기백)</t>
  </si>
  <si>
    <t>동일 설계사</t>
  </si>
  <si>
    <t>예상 해약환급금 비교</t>
  </si>
  <si>
    <t>경과기간</t>
  </si>
  <si>
    <t>배상은 (총납입/환급금/환급률)</t>
  </si>
  <si>
    <t>장아영 (총납입/환급금/환급률)</t>
  </si>
  <si>
    <t>비고</t>
  </si>
  <si>
    <t>1년</t>
  </si>
  <si>
    <t>1,543,704 / 0 / 0%</t>
  </si>
  <si>
    <t>908,388 / 0 / 0%</t>
  </si>
  <si>
    <t>납입기간 중 환급 없음</t>
  </si>
  <si>
    <t>5년</t>
  </si>
  <si>
    <t>7,718,520 / 0 / 0%</t>
  </si>
  <si>
    <t>4,541,940 / 0 / 0%</t>
  </si>
  <si>
    <t>10년</t>
  </si>
  <si>
    <t>15,437,040 / 0 / 0%</t>
  </si>
  <si>
    <t>9,083,880 / 0 / 0%</t>
  </si>
  <si>
    <t>19년</t>
  </si>
  <si>
    <t>29,330,376 / 0 / 0%</t>
  </si>
  <si>
    <t>17,259,372 / 0 / 0%</t>
  </si>
  <si>
    <t>20년 (납입완료)</t>
  </si>
  <si>
    <t>30,874,080 / 12,836,430 / 41.6%</t>
  </si>
  <si>
    <t>18,167,760 / 4,943,210 / 27.2%</t>
  </si>
  <si>
    <t>납입 완료 시점</t>
  </si>
  <si>
    <t>30년</t>
  </si>
  <si>
    <t>30,874,080 / 11,512,670 / 37.3%</t>
  </si>
  <si>
    <t>18,167,760 / 4,027,270 / 22.2%</t>
  </si>
  <si>
    <t>환급금 감소 추세</t>
  </si>
  <si>
    <t>40년</t>
  </si>
  <si>
    <t>30,874,080 / 7,868,100 / 25.5%</t>
  </si>
  <si>
    <t>18,167,760 / 2,139,680 / 11.8%</t>
  </si>
  <si>
    <t>보장항목 상세 비교표</t>
  </si>
  <si>
    <t>※ 두 상품은 상품명과 보장 구성이 다르므로, 유사한 항목끼리 매칭하여 비교합니다.</t>
  </si>
  <si>
    <t>카테고리</t>
  </si>
  <si>
    <t>보장항목</t>
  </si>
  <si>
    <t>배상은
가입금액</t>
  </si>
  <si>
    <t>배상은
보험료(원)</t>
  </si>
  <si>
    <t>장아영
가입금액</t>
  </si>
  <si>
    <t>장아영
보험료(원)</t>
  </si>
  <si>
    <t>납기/만기</t>
  </si>
  <si>
    <t>상해사망/후유장해</t>
  </si>
  <si>
    <t>1백만원</t>
  </si>
  <si>
    <t>49</t>
  </si>
  <si>
    <t>59</t>
  </si>
  <si>
    <t>20년/90세</t>
  </si>
  <si>
    <t>상해사고로 후유장해(3~100%) 발생 시 장해지급률에 따라 보험가입금액 지급</t>
  </si>
  <si>
    <t>(포함)</t>
  </si>
  <si>
    <t>(장아영만) 상해사고 사망 시 가입금액 지급</t>
  </si>
  <si>
    <t>보험료납입면제대상보장</t>
  </si>
  <si>
    <t>10만원</t>
  </si>
  <si>
    <t>84</t>
  </si>
  <si>
    <t>94</t>
  </si>
  <si>
    <t>20년/20년</t>
  </si>
  <si>
    <t>중대질환 진단 시 이후 보험료 납입을 면제해주는 특약</t>
  </si>
  <si>
    <t>보험료납입지원보장(유사암진단)</t>
  </si>
  <si>
    <t>64,321원</t>
  </si>
  <si>
    <t>340</t>
  </si>
  <si>
    <t>37,849원</t>
  </si>
  <si>
    <t>1,759</t>
  </si>
  <si>
    <t>유사암(갑상선암 등) 진단 시 보험료 납입 지원금 지급</t>
  </si>
  <si>
    <t>상해수술비(동일사고당1회지급)</t>
  </si>
  <si>
    <t>3,810</t>
  </si>
  <si>
    <t>(미가입)</t>
  </si>
  <si>
    <t>상해사고로 수술 시 매 사고마다 가입금액 지급</t>
  </si>
  <si>
    <t>상해1-5종수술비Ⅱ(1종)</t>
  </si>
  <si>
    <t>20만원</t>
  </si>
  <si>
    <t>396</t>
  </si>
  <si>
    <t>388</t>
  </si>
  <si>
    <t>상해 1종 수술(비교적 간단한 수술) 시 가입금액 지급</t>
  </si>
  <si>
    <t>상해1-5종수술비Ⅱ(2종)</t>
  </si>
  <si>
    <t>50만원</t>
  </si>
  <si>
    <t>470</t>
  </si>
  <si>
    <t>30만원</t>
  </si>
  <si>
    <t>291</t>
  </si>
  <si>
    <t>상해 2종 수술(중간 난이도) 시 가입금액 지급</t>
  </si>
  <si>
    <t>상해1-5종수술비Ⅱ(3종)</t>
  </si>
  <si>
    <t>440</t>
  </si>
  <si>
    <t>상해 3종 수술(고난이도) 시 가입금액 지급</t>
  </si>
  <si>
    <t>상해1-5종수술비Ⅱ(4종)</t>
  </si>
  <si>
    <t>5백만원</t>
  </si>
  <si>
    <t>2,250</t>
  </si>
  <si>
    <t>3백만원</t>
  </si>
  <si>
    <t>1,320</t>
  </si>
  <si>
    <t>상해 4종 수술(복잡 수술) 시 가입금액 지급</t>
  </si>
  <si>
    <t>상해1-5종수술비Ⅱ(5종)</t>
  </si>
  <si>
    <t>1천만원</t>
  </si>
  <si>
    <t>40</t>
  </si>
  <si>
    <t>25</t>
  </si>
  <si>
    <t>상해 5종 수술(최고난이도 수술) 시 가입금액 지급</t>
  </si>
  <si>
    <t>골절/화상</t>
  </si>
  <si>
    <t>5대골절진단비</t>
  </si>
  <si>
    <t>710</t>
  </si>
  <si>
    <t>머리·목·등뼈·허리뼈·넓적다리뼈 등 5대 골절 진단 시 지급</t>
  </si>
  <si>
    <t>골절진단비(치아포함)</t>
  </si>
  <si>
    <t>4,445</t>
  </si>
  <si>
    <t>뼈가 부러지는 골절로 진단확정 시 1사고당 가입금액 지급</t>
  </si>
  <si>
    <t>화상치료비(화상수술)(동일사고당1회)</t>
  </si>
  <si>
    <t>21</t>
  </si>
  <si>
    <t>30</t>
  </si>
  <si>
    <t>심재성2도 이상 화상으로 수술 시 가입금액 지급</t>
  </si>
  <si>
    <t>화상치료비(화상진단)</t>
  </si>
  <si>
    <t>320</t>
  </si>
  <si>
    <t>252</t>
  </si>
  <si>
    <t>심재성2도 이상 화상 진단 시 1사고당 가입금액 지급</t>
  </si>
  <si>
    <t>화상치료비(중대한화상및부식진단)</t>
  </si>
  <si>
    <t>2천만원</t>
  </si>
  <si>
    <t>56</t>
  </si>
  <si>
    <t>52</t>
  </si>
  <si>
    <t>중대한 화상부식으로 진단 시 가입금액 지급 (1회한)</t>
  </si>
  <si>
    <t>암 진단/치료</t>
  </si>
  <si>
    <t>암진단비Ⅱ(유사암제외)</t>
  </si>
  <si>
    <t>5천만원</t>
  </si>
  <si>
    <t>48,300</t>
  </si>
  <si>
    <t>9,290</t>
  </si>
  <si>
    <t>암 진단 시 가입금액 지급 (유사암 제외, 최초1회). 가장 핵심적인 암보험 항목</t>
  </si>
  <si>
    <t>통합유사암진단비</t>
  </si>
  <si>
    <t>1,400</t>
  </si>
  <si>
    <t>(상은) 갑상선암·경계성종양 등 유사암 진단 시 가입금액 지급</t>
  </si>
  <si>
    <t>유사암진단비(1년감액)</t>
  </si>
  <si>
    <t>2백만원</t>
  </si>
  <si>
    <t>1,140</t>
  </si>
  <si>
    <t>(아영) 유사암 진단 시 지급 (가입 1년 미만 50% 감액)</t>
  </si>
  <si>
    <t>감상선암호르몬약물허가치료비(최초1회)</t>
  </si>
  <si>
    <t>180</t>
  </si>
  <si>
    <t>갑상선암 수술 후 호르몬약물 허가치료 시 가입금액 지급</t>
  </si>
  <si>
    <t>특정항암호르몬약물허가치료비(연간1회)</t>
  </si>
  <si>
    <t>570</t>
  </si>
  <si>
    <t>1,290</t>
  </si>
  <si>
    <t>암 진단 후 특정항암호르몬약물 치료 시 연간 1회 가입금액 지급</t>
  </si>
  <si>
    <t>비급여표적항암약물허가치료비(최초1회)</t>
  </si>
  <si>
    <t>2,430</t>
  </si>
  <si>
    <t>3,700</t>
  </si>
  <si>
    <t>비급여 표적항암제 치료 시 가입금액 지급. 고가 항암치료 대비</t>
  </si>
  <si>
    <t>항암중입자방사선치료비(최초1회)</t>
  </si>
  <si>
    <t>2,050</t>
  </si>
  <si>
    <t>중입자 방사선 치료(최신 암치료) 시 가입금액 지급</t>
  </si>
  <si>
    <t>항암방사선약물치료비(유사암포함)</t>
  </si>
  <si>
    <t>421</t>
  </si>
  <si>
    <t>662</t>
  </si>
  <si>
    <t>항암방사선 또는 항암약물 치료 시 가입금액 지급</t>
  </si>
  <si>
    <t>암주요치료비Ⅱ(상급종합병원플러스)
(유사암제외)(연간1회)(10년지급)</t>
  </si>
  <si>
    <t>10,820</t>
  </si>
  <si>
    <t>10,510</t>
  </si>
  <si>
    <t>상급종합병원에서 암 주요치료(수술·항암·방사선) 시 연간1회 지급, 최대10년</t>
  </si>
  <si>
    <t>기타피부암,갑상선암주요치료비Ⅱ
(상급종합병원플러스)(연간1회)(10년)</t>
  </si>
  <si>
    <t>132</t>
  </si>
  <si>
    <t>454</t>
  </si>
  <si>
    <t>기타피부암·갑상선암으로 상급종합병원에서 주요치료 시 지급</t>
  </si>
  <si>
    <t>비급여암주요치료비(전액본인부담포함)
(연간8천만원한도)</t>
  </si>
  <si>
    <t>8천만원</t>
  </si>
  <si>
    <t>6,667</t>
  </si>
  <si>
    <t>5,537</t>
  </si>
  <si>
    <t>비급여 암치료비를 항목별로 연간 8천만원 한도 내 지급. 실질적 치료비 보장</t>
  </si>
  <si>
    <t>뇌/심장질환</t>
  </si>
  <si>
    <t>뇌혈관질환진단비</t>
  </si>
  <si>
    <t>8,240</t>
  </si>
  <si>
    <t>9,590</t>
  </si>
  <si>
    <t>뇌혈관질환(뇌경색·뇌출혈 등) 진단 시 가입금액 지급 (최초1회)</t>
  </si>
  <si>
    <t>허혈심장질환진단비</t>
  </si>
  <si>
    <t>3,760</t>
  </si>
  <si>
    <t>3,140</t>
  </si>
  <si>
    <t>허혈심장질환(심근경색 등) 진단 시 가입금액 지급 (최초1회)</t>
  </si>
  <si>
    <t>질병수술비</t>
  </si>
  <si>
    <t>질병1-5종수술비Ⅱ(1종)</t>
  </si>
  <si>
    <t>2,661</t>
  </si>
  <si>
    <t>3,114</t>
  </si>
  <si>
    <t>질병 1종 수술(간단한 질병수술) 시 가입금액 지급</t>
  </si>
  <si>
    <t>질병1-5종수술비Ⅱ(2종)</t>
  </si>
  <si>
    <t>3,792</t>
  </si>
  <si>
    <t>3,648</t>
  </si>
  <si>
    <t>질병 2종 수술(중간 난이도) 시 가입금액 지급</t>
  </si>
  <si>
    <t>질병1-5종수술비Ⅱ(3종)</t>
  </si>
  <si>
    <t>1,810</t>
  </si>
  <si>
    <t>1,470</t>
  </si>
  <si>
    <t>질병 3종 수술(고난이도) 시 가입금액 지급</t>
  </si>
  <si>
    <t>질병1-5종수술비Ⅱ(4종)</t>
  </si>
  <si>
    <t>600</t>
  </si>
  <si>
    <t>240</t>
  </si>
  <si>
    <t>질병 4종 수술(복잡 수술) 시 가입금액 지급</t>
  </si>
  <si>
    <t>질병1-5종수술비Ⅱ(5종)</t>
  </si>
  <si>
    <t>6,840</t>
  </si>
  <si>
    <t>4,895</t>
  </si>
  <si>
    <t>질병 5종 수술(최고난이도) 시 가입금액 지급</t>
  </si>
  <si>
    <t>165</t>
  </si>
  <si>
    <t>장기이식/기타</t>
  </si>
  <si>
    <t>5대장기이식수술비(최초1회)</t>
  </si>
  <si>
    <t>3천만원</t>
  </si>
  <si>
    <t>324</t>
  </si>
  <si>
    <t>98</t>
  </si>
  <si>
    <t>20년/80세</t>
  </si>
  <si>
    <t>간·신장·심장·췌장·폐 5대 장기 이식수술 시 가입금액 지급</t>
  </si>
  <si>
    <t>각막이식수술비(최초1회)</t>
  </si>
  <si>
    <t>66</t>
  </si>
  <si>
    <t>16</t>
  </si>
  <si>
    <t>각막이식수술 시 가입금액 지급 (1회한)</t>
  </si>
  <si>
    <t>조혈모세포이식수술비Ⅱ(최초1회)</t>
  </si>
  <si>
    <t>128</t>
  </si>
  <si>
    <t>조혈모세포(골수) 이식수술 시 가입금액 지급</t>
  </si>
  <si>
    <t>순환계질환
(3-5종)</t>
  </si>
  <si>
    <t>순환계질환주요치료비Ⅱ(수술시)(매회)</t>
  </si>
  <si>
    <t>6,420</t>
  </si>
  <si>
    <t>4,450</t>
  </si>
  <si>
    <t>순환계질환(3-5종)으로 수술 시 매회 가입금액 지급</t>
  </si>
  <si>
    <t>순환계질환주요치료비Ⅱ(종합병원)
(종환자실입원시)(연간1회)</t>
  </si>
  <si>
    <t>2,680</t>
  </si>
  <si>
    <t>2,300</t>
  </si>
  <si>
    <t>순환계질환으로 종합병원 중환자실 입원 시 연간1회 지급</t>
  </si>
  <si>
    <t>순환계질환주요치료비Ⅱ
(혈전용해치료시)(뇌혈관질환)(연간1회)</t>
  </si>
  <si>
    <t>1,760</t>
  </si>
  <si>
    <t>1,420</t>
  </si>
  <si>
    <t>뇌혈관질환으로 혈전용해치료 시 연간1회 가입금액 지급</t>
  </si>
  <si>
    <t>순환계질환주요치료비Ⅱ
(혈전용해치료시)(심혈관,기타)(연간1회)</t>
  </si>
  <si>
    <t>2,920</t>
  </si>
  <si>
    <t>1,560</t>
  </si>
  <si>
    <t>심혈관·기타 질환으로 혈전용해치료 시 연간1회 가입금액 지급</t>
  </si>
  <si>
    <t>보장보험료 합계</t>
  </si>
  <si>
    <t>두 분 합산 월 204,341원 / 연 약 2,452,092원</t>
  </si>
  <si>
    <t>카테고리별 보험료 구성 비교</t>
  </si>
  <si>
    <t>배상은 보험료(원)</t>
  </si>
  <si>
    <t>비중</t>
  </si>
  <si>
    <t>장아영 보험료(원)</t>
  </si>
  <si>
    <t>카테고리 설명</t>
  </si>
  <si>
    <t>0.0%</t>
  </si>
  <si>
    <t>0.1%</t>
  </si>
  <si>
    <t>사고로 인한 사망·장해 보장</t>
  </si>
  <si>
    <t>424</t>
  </si>
  <si>
    <t>0.3%</t>
  </si>
  <si>
    <t>1,853</t>
  </si>
  <si>
    <t>2.4%</t>
  </si>
  <si>
    <t>중대질환 시 보험료 면제 혜택</t>
  </si>
  <si>
    <t>7,406</t>
  </si>
  <si>
    <t>5.8%</t>
  </si>
  <si>
    <t>2,494</t>
  </si>
  <si>
    <t>3.3%</t>
  </si>
  <si>
    <t>사고로 인한 수술비 보장</t>
  </si>
  <si>
    <t>5,552</t>
  </si>
  <si>
    <t>4.3%</t>
  </si>
  <si>
    <t>334</t>
  </si>
  <si>
    <t>0.4%</t>
  </si>
  <si>
    <t>골절·화상 진단 및 치료비</t>
  </si>
  <si>
    <t>72,770</t>
  </si>
  <si>
    <t>56.6%</t>
  </si>
  <si>
    <t>34,563</t>
  </si>
  <si>
    <t>45.7%</t>
  </si>
  <si>
    <t>암 진단금 및 각종 항암치료비 보장</t>
  </si>
  <si>
    <t>12,000</t>
  </si>
  <si>
    <t>9.3%</t>
  </si>
  <si>
    <t>12,730</t>
  </si>
  <si>
    <t>16.8%</t>
  </si>
  <si>
    <t>뇌혈관·허혈심장 질환 진단금</t>
  </si>
  <si>
    <t>16,143</t>
  </si>
  <si>
    <t>12.5%</t>
  </si>
  <si>
    <t>13,532</t>
  </si>
  <si>
    <t>17.9%</t>
  </si>
  <si>
    <t>질병 수술 시 종류별 수술비</t>
  </si>
  <si>
    <t>518</t>
  </si>
  <si>
    <t>154</t>
  </si>
  <si>
    <t>0.2%</t>
  </si>
  <si>
    <t>장기·각막·조혈모세포 이식수술</t>
  </si>
  <si>
    <t>순환계질환(3-5종)</t>
  </si>
  <si>
    <t>13,780</t>
  </si>
  <si>
    <t>10.7%</t>
  </si>
  <si>
    <t>9,730</t>
  </si>
  <si>
    <t>12.9%</t>
  </si>
  <si>
    <t>순환계질환 수술·입원·혈전용해 치료</t>
  </si>
  <si>
    <t>100%</t>
  </si>
  <si>
    <t>두 분 합산 월 204,341원</t>
  </si>
  <si>
    <t>주요 특징 요약</t>
  </si>
  <si>
    <t>1. 암 보장이 전체 보험료의 가장 큰 비중을 차지합니다 (상은 56.6%, 아영 45.7%).</t>
  </si>
  <si>
    <t>2. 상은님은 암진단비가 5천만원으로 아영님(1천만원)보다 높게 설정되어 있습니다.</t>
  </si>
  <si>
    <t>3. 뇌/심장질환 보장은 두 분 모두 동일한 가입금액(각 1천만원)으로 구성되어 있습니다.</t>
  </si>
  <si>
    <t>4. 상은님은 골절/화상 보장이 두텁고, 아영님은 상해사망 보장이 추가로 포함되어 있습니다.</t>
  </si>
  <si>
    <t>5. 무(저)해지 플랜으로 납입기간(20년) 중에는 해약환급금이 없습니다.</t>
  </si>
  <si>
    <t>6. 상은님은 왼쪽 어깨에 대해 3년간 보장이 제한됩니다 (기존 질환으로 인한 부담보).</t>
  </si>
  <si>
    <t>7. 두 분 합산 월 보험료 약 20.4만원, 연간 약 245만원 납입 예정입니다.</t>
  </si>
  <si>
    <t>후유장해</t>
  </si>
  <si>
    <t>후유장해</t>
    <phoneticPr fontId="18" type="noConversion"/>
  </si>
  <si>
    <t>전체 합산 월 373,420원 (기존+신규 모두 포함)</t>
  </si>
  <si>
    <t>중대질환 시 보험료 면제. 면제 사유 수와 조건 비교 필수</t>
  </si>
  <si>
    <t>양성 뇌종양 진단 시 지급 (1회한)</t>
  </si>
  <si>
    <t>39</t>
  </si>
  <si>
    <t>조혈모세포(골수) 이식수술 (최초1회)</t>
  </si>
  <si>
    <t>38</t>
  </si>
  <si>
    <t>각막이식수술 (최초1회)</t>
  </si>
  <si>
    <t>37</t>
  </si>
  <si>
    <t>간·신장·심장·췌장·폐 이식수술 (최초1회)</t>
  </si>
  <si>
    <t>36</t>
  </si>
  <si>
    <t>장기이식/기타 진단</t>
  </si>
  <si>
    <t>★ 아영 기존 2만원/일만 있음. 두 분 모두 보강 검토</t>
  </si>
  <si>
    <t>상해입원(일당)</t>
  </si>
  <si>
    <t>34</t>
  </si>
  <si>
    <t>질병입원(일당)</t>
  </si>
  <si>
    <t>33</t>
  </si>
  <si>
    <t>중대한 화상·부식 진단 시 지급 (1회한)</t>
  </si>
  <si>
    <t>32</t>
  </si>
  <si>
    <t>심재성2도 이상 화상. 보험료 저렴하여 유지 권장</t>
  </si>
  <si>
    <t>31</t>
  </si>
  <si>
    <t>아영 기존 20만. 상은 골절50만+5대골절100만</t>
  </si>
  <si>
    <t>상은은 동일사고당100만+1-5종별 추가. 아영보다 두터움</t>
  </si>
  <si>
    <t>28</t>
  </si>
  <si>
    <t>질병수술 종류별 지급. 타사도 종별 금액 비교 필요</t>
  </si>
  <si>
    <t>26</t>
  </si>
  <si>
    <t>수술비</t>
  </si>
  <si>
    <t>심혈관·기타 혈전용해치료 연1회</t>
  </si>
  <si>
    <t>순환계질환 혈전용해(심혈관,기타)</t>
  </si>
  <si>
    <t>뇌혈관 혈전용해치료 연1회</t>
  </si>
  <si>
    <t>순환계질환 혈전용해(뇌혈관)</t>
  </si>
  <si>
    <t>24</t>
  </si>
  <si>
    <t>종합병원 중환자실 입원 시 연간1회 지급</t>
  </si>
  <si>
    <t>순환계질환 중환자실입원(연1회)</t>
  </si>
  <si>
    <t>23</t>
  </si>
  <si>
    <t>순환계(3-5종) 수술 시 매회 지급. 횟수제한 없는지 확인</t>
  </si>
  <si>
    <t>순환계질환 수술비(매회)</t>
  </si>
  <si>
    <t>22</t>
  </si>
  <si>
    <t>순환계질환 (3-5종)</t>
  </si>
  <si>
    <t>순환계질환 치료비로 대체 가능</t>
  </si>
  <si>
    <t>아영 기존 DB생명 2,000만. 허혈심장질환에도 일부 포함</t>
  </si>
  <si>
    <t>19</t>
  </si>
  <si>
    <t>광범위 허혈심장 보장. "급성심근경색"보다 범위 넓음</t>
  </si>
  <si>
    <t>18</t>
  </si>
  <si>
    <t>아영 기존 DB생명 2,000만. 뇌혈관질환에도 일부 포함</t>
  </si>
  <si>
    <t>17</t>
  </si>
  <si>
    <t>뇌혈관질환에 포함. 별도 항목 불필요</t>
  </si>
  <si>
    <t>광범위 뇌혈관질환 보장. "뇌졸중"보다 범위 넓음. 타사 범위 확인</t>
  </si>
  <si>
    <t>15</t>
  </si>
  <si>
    <t>2대질병 (뇌/심장)</t>
  </si>
  <si>
    <t>실질적 비급여 치료비 보장. 항목별 한도 세부 확인 필요</t>
  </si>
  <si>
    <t>비급여암주요치료비(연8천만)</t>
  </si>
  <si>
    <t>14</t>
  </si>
  <si>
    <t>상급종합병원 암치료 연간1회×10년. 장기 항암 대비</t>
  </si>
  <si>
    <t>암주요치료비(상급종합,10년)</t>
  </si>
  <si>
    <t>13</t>
  </si>
  <si>
    <t>최신 중입자 치료 대비. 최초1회. 타사 포함 여부 확인</t>
  </si>
  <si>
    <t>12</t>
  </si>
  <si>
    <t>고가 표적항암제 대비 핵심. 두 분 동일 5,000만원</t>
  </si>
  <si>
    <t>11</t>
  </si>
  <si>
    <t>항암방사선·약물치료비. 유사암 포함. 매회 100만원 지급</t>
  </si>
  <si>
    <t>항암치료(방사선/약물)</t>
  </si>
  <si>
    <t>10</t>
  </si>
  <si>
    <t>★ 두 분 모두 없음. 암 장기입원 대비 필요시 추가 검토</t>
  </si>
  <si>
    <t>9</t>
  </si>
  <si>
    <t>별도 암수술비 없음. 비급여암주요치료비에서 일부 커버</t>
  </si>
  <si>
    <t>8</t>
  </si>
  <si>
    <t>갑상선암 등 유사암. 상은 1,000만 vs 아영 200만</t>
  </si>
  <si>
    <t>7</t>
  </si>
  <si>
    <t>★ 핵심. 아영 합산 6,200만 / 상은 5,000만. 타사 견적 시 가장 먼저 비교할 항목</t>
  </si>
  <si>
    <t>6</t>
  </si>
  <si>
    <t>암 진단/치료 (가장 중요)</t>
  </si>
  <si>
    <t>상해후유장해. 아영 기존 5,000만 + 신규 100만</t>
  </si>
  <si>
    <t>5</t>
  </si>
  <si>
    <t>★ 두 분 모두 없음. 질병후유장해 필요시 별도 검토</t>
  </si>
  <si>
    <t>4</t>
  </si>
  <si>
    <t>상해사고 사망. 아영 신규에 100만 추가. 상은은 미보장</t>
  </si>
  <si>
    <t>3</t>
  </si>
  <si>
    <t>질병사망은 아영 DB생명에서만 보장. 생명보험 영역</t>
  </si>
  <si>
    <t>종신보험 사망보장. 손해보험에는 없는 항목</t>
  </si>
  <si>
    <t>1</t>
  </si>
  <si>
    <t>체크포인트</t>
  </si>
  <si>
    <t>비교 항목</t>
  </si>
  <si>
    <t>No.</t>
  </si>
  <si>
    <t>보장분석 체크리스트 (기존보험 + 신규설계서 + 타사비교)</t>
  </si>
  <si>
    <t>GA(독립 대리점)라면 여러 보험사 비교 가능</t>
  </si>
  <si>
    <t>타사(삼성화재, 현대해상, KB손보 등)에서도 견적을 받아볼 수 있나요?</t>
  </si>
  <si>
    <t>일반</t>
  </si>
  <si>
    <t>질병사망5,300만+상해사망5,300만+뇌출혈2,000만+심근경색2,000만 보장 중</t>
  </si>
  <si>
    <t>아영님 DB생명 종신보험은 계속 유지하는 게 맞나요?</t>
  </si>
  <si>
    <t>기존보험</t>
  </si>
  <si>
    <t>실손이 있으면 통원·입원 실비는 커버되므로 중복 방지</t>
  </si>
  <si>
    <t>실손보험은 별도로 가입되어 있나요?</t>
  </si>
  <si>
    <t>추가보장</t>
  </si>
  <si>
    <t>장기입원 대비. 1일 3~5만원 기준으로 견적 요청</t>
  </si>
  <si>
    <t>입원일당을 추가하면 보험료가 얼마나 올라가나요?</t>
  </si>
  <si>
    <t>부담보 해제 후 보장 범위·조건 명확히 확인</t>
  </si>
  <si>
    <t>상은님 왼쪽 어깨 3년 부담보, 3년 후에는 완전히 보장되나요?</t>
  </si>
  <si>
    <t>부담보</t>
  </si>
  <si>
    <t>일부 특약은 갱신형이라 시간이 지나면 보험료 급등 가능</t>
  </si>
  <si>
    <t>갱신특약이 포함되어 있나요? 갱신 시 보험료 인상 폭은?</t>
  </si>
  <si>
    <t>면제/환급</t>
  </si>
  <si>
    <t>납입 완료 후에도 갱신 없이 보장 지속 여부 확인</t>
  </si>
  <si>
    <t>20년 납입 완료 후 보장은 90세까지 유지되는 거 맞나요?</t>
  </si>
  <si>
    <t>암, 뇌, 심장 외에 어떤 사유가 포함되는지 세부 확인</t>
  </si>
  <si>
    <t>보험료 납입면제 사유가 구체적으로 뭔가요?</t>
  </si>
  <si>
    <t>보험사마다 수술 분류 기준이 다를 수 있음</t>
  </si>
  <si>
    <t>1-5종 수술비의 "종" 분류 기준이 타사와 동일한가요?</t>
  </si>
  <si>
    <t>허혈심장이 더 넓음. 타사가 좁은 범위로 설계할 수 있음</t>
  </si>
  <si>
    <t>"허혈심장질환"과 "급성심근경색"의 범위 차이는?</t>
  </si>
  <si>
    <t>뇌/심장</t>
  </si>
  <si>
    <t>뇌혈관이 더 넓은 범위. 타사도 동일 범위인지 확인</t>
  </si>
  <si>
    <t>"뇌혈관질환"과 "뇌졸중"의 보장 범위 차이가 뭔가요?</t>
  </si>
  <si>
    <t>최초 1회 vs 재진단 보장 여부가 큰 차이</t>
  </si>
  <si>
    <t>암 재진단 시 추가 지급이 가능한가요?</t>
  </si>
  <si>
    <t>암 보장</t>
  </si>
  <si>
    <t>갑상선암, 기타피부암, 경계성종양, 제자리암 등 범위 확인</t>
  </si>
  <si>
    <t>"유사암 제외" 범위가 정확히 어떤 암인가요?</t>
  </si>
  <si>
    <t>신규 단독 1,000만원은 실제 암치료비 대비 부족. 기존 합산시 6,200만이지만 기존 해지 리스크 고려</t>
  </si>
  <si>
    <t>아영님 암진단비를 3,000만원으로 올리면 보험료 추가분은?</t>
  </si>
  <si>
    <t>무해지는 저렴하지만 중도해약 시 손실 큼</t>
  </si>
  <si>
    <t>무해지 대신 표준형으로 바꾸면 보험료와 환급금 차이는?</t>
  </si>
  <si>
    <t>보험료</t>
  </si>
  <si>
    <t>고지 기간이 짧으면 가입 부담 줄지만 보험료 상승</t>
  </si>
  <si>
    <t>건강고지 기간을 줄이면(예: 9년→6년) 보험료가 얼마나 올라가나요?</t>
  </si>
  <si>
    <t>같은 보장이라도 보험사마다 보험료 차이가 큽니다</t>
  </si>
  <si>
    <t>동일한 보장 내용으로 타사 견적을 받으면 보험료가 얼마인가요?</t>
  </si>
  <si>
    <t>왜 중요한가</t>
  </si>
  <si>
    <t>질문 내용</t>
  </si>
  <si>
    <t>분류</t>
  </si>
  <si>
    <t>※ 타사 견적 요청 시 또는 현재 설계 검토 시 꼭 확인해야 할 질문들입니다.</t>
  </si>
  <si>
    <t>설계사에게 확인할 질문 리스트</t>
  </si>
  <si>
    <t>전체 합산 월 294,713원. 타사 견적 시 동일 조건으로 비교</t>
    <phoneticPr fontId="18" type="noConversion"/>
  </si>
  <si>
    <t>아영 기존 보험에서 5,200만원 가입되어 있으므로 1,000만원 가입 필요 없을듯</t>
    <phoneticPr fontId="18" type="noConversion"/>
  </si>
  <si>
    <t>아영의 신규보험의 통합유사암 진단비 1,000만원으로 증액 + 통합유사암진단비(1년감액지급)은 삭제</t>
    <phoneticPr fontId="18" type="noConversion"/>
  </si>
  <si>
    <t>입원비 보장 없는지 확인</t>
    <phoneticPr fontId="18" type="noConversion"/>
  </si>
  <si>
    <t>제외</t>
    <phoneticPr fontId="18" type="noConversion"/>
  </si>
  <si>
    <t>뇌혈관 질환 2,000만원 증액 시 보험료 확인</t>
    <phoneticPr fontId="18" type="noConversion"/>
  </si>
  <si>
    <t>아영 기존보험 뇌출혈 보험료 확인(→ 신규 가입과 비교)</t>
    <phoneticPr fontId="18" type="noConversion"/>
  </si>
  <si>
    <t>아영 기존보험 급성심금경색 보험료 확인(→ 신규 가입과 비교)</t>
    <phoneticPr fontId="18" type="noConversion"/>
  </si>
  <si>
    <t>허혈성 질환 2,000만원 증액 시 보험료 확인</t>
    <phoneticPr fontId="18" type="noConversion"/>
  </si>
  <si>
    <t>아영 중복가입여부 확인</t>
    <phoneticPr fontId="18" type="noConversion"/>
  </si>
  <si>
    <t>아영 신규보험 3,000만원으로 증액</t>
    <phoneticPr fontId="18" type="noConversion"/>
  </si>
  <si>
    <t>아영 신규보험 2,000만원으로 증액</t>
    <phoneticPr fontId="18" type="noConversion"/>
  </si>
  <si>
    <t>아영 기존보험 상해사망 보험료 확인(→ 제외검토) + 신규보험 상해사망 100만원 빼기</t>
    <phoneticPr fontId="18" type="noConversion"/>
  </si>
  <si>
    <t>아영 기존 상해후유장해 5,000만원 보험료 확인 필요(→ 제외검토)</t>
    <phoneticPr fontId="18" type="noConversion"/>
  </si>
  <si>
    <t>아영 기존보험 질병사망 보험료 확인 필요(→ 제외검토)</t>
    <phoneticPr fontId="18" type="noConversion"/>
  </si>
  <si>
    <t>※ 금액 단위: 만원 | 아영 기존 = DB생명+DB손해 |</t>
    <phoneticPr fontId="18" type="noConversion"/>
  </si>
  <si>
    <t>200(→ 1,000)</t>
    <phoneticPr fontId="18" type="noConversion"/>
  </si>
  <si>
    <t>5300(→0)</t>
    <phoneticPr fontId="18" type="noConversion"/>
  </si>
  <si>
    <t>5000(→0)</t>
    <phoneticPr fontId="18" type="noConversion"/>
  </si>
  <si>
    <t>1000(→0)</t>
    <phoneticPr fontId="18" type="noConversion"/>
  </si>
  <si>
    <t>2000(→?)</t>
    <phoneticPr fontId="18" type="noConversion"/>
  </si>
  <si>
    <t>1000(→2000)</t>
    <phoneticPr fontId="18" type="noConversion"/>
  </si>
  <si>
    <t>1000(→2000</t>
    <phoneticPr fontId="18" type="noConversion"/>
  </si>
  <si>
    <t>아영 신규보험 5대골절진단비 100만원 추가</t>
    <phoneticPr fontId="18" type="noConversion"/>
  </si>
  <si>
    <t>2000(→3000)</t>
    <phoneticPr fontId="18" type="noConversion"/>
  </si>
  <si>
    <t>500(→2000)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</si>
</sst>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scheme val="minor"/>
    </font>
    <font>
      <b/>
      <sz val="14"/>
      <color rgb="FF2E7D32"/>
      <name val="맑은 고딕"/>
      <charset val="129"/>
    </font>
    <font>
      <sz val="9"/>
      <color rgb="FF999999"/>
      <name val="맑은 고딕"/>
      <charset val="129"/>
    </font>
    <font>
      <b/>
      <sz val="11"/>
      <color rgb="FFFFFFFF"/>
      <name val="맑은 고딕"/>
      <charset val="129"/>
    </font>
    <font>
      <sz val="10"/>
      <name val="맑은 고딕"/>
      <charset val="129"/>
    </font>
    <font>
      <b/>
      <sz val="10"/>
      <name val="맑은 고딕"/>
      <charset val="129"/>
    </font>
    <font>
      <b/>
      <sz val="11"/>
      <color rgb="FFE65100"/>
      <name val="맑은 고딕"/>
      <charset val="129"/>
    </font>
    <font>
      <b/>
      <sz val="12"/>
      <color rgb="FF2E7D32"/>
      <name val="맑은 고딕"/>
      <charset val="129"/>
    </font>
    <font>
      <sz val="9"/>
      <color rgb="FFE65100"/>
      <name val="맑은 고딕"/>
      <charset val="129"/>
    </font>
    <font>
      <b/>
      <sz val="10"/>
      <color rgb="FF1B5E20"/>
      <name val="맑은 고딕"/>
      <charset val="129"/>
    </font>
    <font>
      <sz val="9"/>
      <name val="맑은 고딕"/>
      <charset val="129"/>
    </font>
    <font>
      <sz val="9"/>
      <color rgb="FF666666"/>
      <name val="맑은 고딕"/>
      <charset val="129"/>
    </font>
    <font>
      <b/>
      <sz val="14"/>
      <color rgb="FF1565C0"/>
      <name val="맑은 고딕"/>
      <charset val="129"/>
    </font>
    <font>
      <b/>
      <sz val="10"/>
      <color rgb="FFFFFFFF"/>
      <name val="맑은 고딕"/>
      <charset val="129"/>
    </font>
    <font>
      <b/>
      <sz val="10"/>
      <color rgb="FF0D47A1"/>
      <name val="맑은 고딕"/>
      <charset val="129"/>
    </font>
    <font>
      <sz val="10"/>
      <color rgb="FFBBBBBB"/>
      <name val="맑은 고딕"/>
      <charset val="129"/>
    </font>
    <font>
      <sz val="9"/>
      <color rgb="FF2E7D32"/>
      <name val="맑은 고딕"/>
      <charset val="129"/>
    </font>
    <font>
      <sz val="9"/>
      <color rgb="FF1565C0"/>
      <name val="맑은 고딕"/>
      <charset val="129"/>
    </font>
    <font>
      <sz val="8"/>
      <name val="맑은 고딕"/>
      <family val="3"/>
      <charset val="129"/>
      <scheme val="minor"/>
    </font>
    <font>
      <b/>
      <sz val="10"/>
      <color rgb="FF0D47A1"/>
      <name val="맑은 고딕"/>
      <family val="2"/>
      <charset val="129"/>
    </font>
    <font>
      <b/>
      <sz val="11"/>
      <color rgb="FFE65100"/>
      <name val="맑은 고딕"/>
      <family val="2"/>
      <charset val="129"/>
    </font>
    <font>
      <sz val="9"/>
      <color rgb="FF666666"/>
      <name val="맑은 고딕"/>
      <family val="2"/>
      <charset val="129"/>
    </font>
    <font>
      <sz val="10"/>
      <name val="맑은 고딕"/>
      <family val="2"/>
      <charset val="129"/>
    </font>
    <font>
      <sz val="10"/>
      <color rgb="FFBBBBBB"/>
      <name val="맑은 고딕"/>
      <family val="2"/>
      <charset val="129"/>
    </font>
    <font>
      <b/>
      <sz val="10"/>
      <name val="맑은 고딕"/>
      <family val="2"/>
      <charset val="129"/>
    </font>
    <font>
      <sz val="9"/>
      <color rgb="FFE65100"/>
      <name val="맑은 고딕"/>
      <family val="2"/>
      <charset val="129"/>
    </font>
    <font>
      <b/>
      <sz val="9"/>
      <color rgb="FF333333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4"/>
      <color rgb="FF1565C0"/>
      <name val="맑은 고딕"/>
      <family val="2"/>
      <charset val="129"/>
    </font>
    <font>
      <sz val="10"/>
      <color theme="1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1565C0"/>
      </patternFill>
    </fill>
    <fill>
      <patternFill patternType="solid">
        <fgColor rgb="FFEC407A"/>
      </patternFill>
    </fill>
    <fill>
      <patternFill patternType="solid">
        <fgColor rgb="FF42A5F5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BBDEFB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double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double">
        <color indexed="64"/>
      </top>
      <bottom style="thin">
        <color rgb="FFCCCCCC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righ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0" xfId="0"/>
    <xf numFmtId="0" fontId="14" fillId="1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3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3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right" vertical="center" wrapText="1"/>
    </xf>
    <xf numFmtId="3" fontId="20" fillId="3" borderId="1" xfId="0" applyNumberFormat="1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13" borderId="1" xfId="0" applyFill="1" applyBorder="1"/>
    <xf numFmtId="0" fontId="19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3" fontId="22" fillId="0" borderId="1" xfId="0" applyNumberFormat="1" applyFont="1" applyFill="1" applyBorder="1" applyAlignment="1">
      <alignment horizontal="right" vertical="center" wrapText="1"/>
    </xf>
    <xf numFmtId="3" fontId="24" fillId="14" borderId="1" xfId="0" applyNumberFormat="1" applyFont="1" applyFill="1" applyBorder="1" applyAlignment="1">
      <alignment horizontal="right" vertical="center" wrapText="1"/>
    </xf>
    <xf numFmtId="3" fontId="22" fillId="15" borderId="1" xfId="0" applyNumberFormat="1" applyFont="1" applyFill="1" applyBorder="1" applyAlignment="1">
      <alignment horizontal="right" vertical="center" wrapText="1"/>
    </xf>
    <xf numFmtId="3" fontId="23" fillId="0" borderId="1" xfId="0" applyNumberFormat="1" applyFont="1" applyFill="1" applyBorder="1" applyAlignment="1">
      <alignment horizontal="center" vertical="center" wrapText="1"/>
    </xf>
    <xf numFmtId="3" fontId="23" fillId="14" borderId="1" xfId="0" applyNumberFormat="1" applyFont="1" applyFill="1" applyBorder="1" applyAlignment="1">
      <alignment horizontal="center" vertical="center" wrapText="1"/>
    </xf>
    <xf numFmtId="3" fontId="23" fillId="15" borderId="1" xfId="0" applyNumberFormat="1" applyFont="1" applyFill="1" applyBorder="1" applyAlignment="1">
      <alignment horizontal="center" vertical="center" wrapText="1"/>
    </xf>
    <xf numFmtId="3" fontId="22" fillId="16" borderId="1" xfId="0" applyNumberFormat="1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5" borderId="5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4" fillId="11" borderId="7" xfId="0" applyFont="1" applyFill="1" applyBorder="1" applyAlignment="1">
      <alignment horizontal="right" vertical="center" wrapText="1"/>
    </xf>
    <xf numFmtId="0" fontId="4" fillId="12" borderId="7" xfId="0" applyFont="1" applyFill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16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4" fillId="11" borderId="3" xfId="0" applyFont="1" applyFill="1" applyBorder="1" applyAlignment="1">
      <alignment horizontal="right" vertical="center" wrapText="1"/>
    </xf>
    <xf numFmtId="0" fontId="4" fillId="12" borderId="3" xfId="0" applyFont="1" applyFill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0" fontId="16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0" fillId="0" borderId="8" xfId="0" applyBorder="1"/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11" borderId="9" xfId="0" applyFont="1" applyFill="1" applyBorder="1" applyAlignment="1">
      <alignment horizontal="right" vertical="center" wrapText="1"/>
    </xf>
    <xf numFmtId="0" fontId="4" fillId="12" borderId="9" xfId="0" applyFont="1" applyFill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16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16" fillId="0" borderId="6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right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6" fillId="3" borderId="10" xfId="0" applyFont="1" applyFill="1" applyBorder="1" applyAlignment="1">
      <alignment horizontal="left" vertical="center" wrapText="1"/>
    </xf>
    <xf numFmtId="3" fontId="24" fillId="16" borderId="1" xfId="0" applyNumberFormat="1" applyFont="1" applyFill="1" applyBorder="1" applyAlignment="1">
      <alignment horizontal="right" vertical="center" wrapText="1"/>
    </xf>
    <xf numFmtId="3" fontId="22" fillId="16" borderId="1" xfId="0" applyNumberFormat="1" applyFont="1" applyFill="1" applyBorder="1" applyAlignment="1">
      <alignment horizontal="center" vertical="center" wrapText="1"/>
    </xf>
    <xf numFmtId="3" fontId="29" fillId="16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sqref="A1:D1"/>
    </sheetView>
  </sheetViews>
  <sheetFormatPr baseColWidth="10" defaultColWidth="8.83203125" defaultRowHeight="17"/>
  <cols>
    <col min="1" max="1" width="18" customWidth="1"/>
    <col min="2" max="3" width="30" customWidth="1"/>
    <col min="4" max="4" width="40" customWidth="1"/>
  </cols>
  <sheetData>
    <row r="1" spans="1:4" ht="35" customHeight="1">
      <c r="A1" s="39" t="s">
        <v>132</v>
      </c>
      <c r="B1" s="32"/>
      <c r="C1" s="32"/>
      <c r="D1" s="32"/>
    </row>
    <row r="2" spans="1:4">
      <c r="A2" s="41" t="s">
        <v>133</v>
      </c>
      <c r="B2" s="32"/>
      <c r="C2" s="32"/>
      <c r="D2" s="32"/>
    </row>
    <row r="4" spans="1:4" ht="25" customHeight="1">
      <c r="A4" s="1" t="s">
        <v>2</v>
      </c>
      <c r="B4" s="1" t="s">
        <v>4</v>
      </c>
      <c r="C4" s="1" t="s">
        <v>3</v>
      </c>
      <c r="D4" s="1" t="s">
        <v>134</v>
      </c>
    </row>
    <row r="5" spans="1:4" ht="28" customHeight="1">
      <c r="A5" s="2" t="s">
        <v>135</v>
      </c>
      <c r="B5" s="3" t="s">
        <v>136</v>
      </c>
      <c r="C5" s="3" t="s">
        <v>136</v>
      </c>
      <c r="D5" s="3" t="s">
        <v>137</v>
      </c>
    </row>
    <row r="6" spans="1:4" ht="28" customHeight="1">
      <c r="A6" s="2" t="s">
        <v>138</v>
      </c>
      <c r="B6" s="3" t="s">
        <v>139</v>
      </c>
      <c r="C6" s="3" t="s">
        <v>140</v>
      </c>
      <c r="D6" s="3" t="s">
        <v>141</v>
      </c>
    </row>
    <row r="7" spans="1:4" ht="28" customHeight="1">
      <c r="A7" s="2" t="s">
        <v>142</v>
      </c>
      <c r="B7" s="3" t="s">
        <v>143</v>
      </c>
      <c r="C7" s="3" t="s">
        <v>144</v>
      </c>
      <c r="D7" s="3" t="s">
        <v>145</v>
      </c>
    </row>
    <row r="8" spans="1:4" ht="28" customHeight="1">
      <c r="A8" s="2" t="s">
        <v>146</v>
      </c>
      <c r="B8" s="3" t="s">
        <v>147</v>
      </c>
      <c r="C8" s="3" t="s">
        <v>148</v>
      </c>
      <c r="D8" s="3" t="s">
        <v>149</v>
      </c>
    </row>
    <row r="9" spans="1:4" ht="28" customHeight="1">
      <c r="A9" s="2" t="s">
        <v>150</v>
      </c>
      <c r="B9" s="3" t="s">
        <v>151</v>
      </c>
      <c r="C9" s="3" t="s">
        <v>151</v>
      </c>
      <c r="D9" s="3" t="s">
        <v>152</v>
      </c>
    </row>
    <row r="10" spans="1:4" ht="28" customHeight="1">
      <c r="A10" s="2" t="s">
        <v>153</v>
      </c>
      <c r="B10" s="3" t="s">
        <v>154</v>
      </c>
      <c r="C10" s="3" t="s">
        <v>154</v>
      </c>
      <c r="D10" s="3" t="s">
        <v>152</v>
      </c>
    </row>
    <row r="11" spans="1:4" ht="28" customHeight="1">
      <c r="A11" s="2" t="s">
        <v>155</v>
      </c>
      <c r="B11" s="3" t="s">
        <v>156</v>
      </c>
      <c r="C11" s="3" t="s">
        <v>156</v>
      </c>
      <c r="D11" s="3" t="s">
        <v>152</v>
      </c>
    </row>
    <row r="12" spans="1:4" ht="28" customHeight="1">
      <c r="A12" s="4" t="s">
        <v>10</v>
      </c>
      <c r="B12" s="4" t="s">
        <v>157</v>
      </c>
      <c r="C12" s="4" t="s">
        <v>158</v>
      </c>
      <c r="D12" s="4" t="s">
        <v>159</v>
      </c>
    </row>
    <row r="13" spans="1:4" ht="28" customHeight="1">
      <c r="A13" s="2" t="s">
        <v>160</v>
      </c>
      <c r="B13" s="3" t="s">
        <v>157</v>
      </c>
      <c r="C13" s="3" t="s">
        <v>158</v>
      </c>
      <c r="D13" s="3" t="s">
        <v>161</v>
      </c>
    </row>
    <row r="14" spans="1:4" ht="28" customHeight="1">
      <c r="A14" s="2" t="s">
        <v>162</v>
      </c>
      <c r="B14" s="3" t="s">
        <v>163</v>
      </c>
      <c r="C14" s="3" t="s">
        <v>163</v>
      </c>
      <c r="D14" s="3" t="s">
        <v>164</v>
      </c>
    </row>
    <row r="15" spans="1:4" ht="28" customHeight="1">
      <c r="A15" s="2" t="s">
        <v>165</v>
      </c>
      <c r="B15" s="3" t="s">
        <v>166</v>
      </c>
      <c r="C15" s="3" t="s">
        <v>167</v>
      </c>
      <c r="D15" s="3" t="s">
        <v>168</v>
      </c>
    </row>
    <row r="16" spans="1:4" ht="28" customHeight="1">
      <c r="A16" s="2" t="s">
        <v>169</v>
      </c>
      <c r="B16" s="3" t="s">
        <v>170</v>
      </c>
      <c r="C16" s="3" t="s">
        <v>171</v>
      </c>
      <c r="D16" s="3" t="s">
        <v>172</v>
      </c>
    </row>
    <row r="17" spans="1:4" ht="28" customHeight="1">
      <c r="A17" s="2" t="s">
        <v>173</v>
      </c>
      <c r="B17" s="3" t="s">
        <v>174</v>
      </c>
      <c r="C17" s="3" t="s">
        <v>174</v>
      </c>
      <c r="D17" s="3" t="s">
        <v>175</v>
      </c>
    </row>
    <row r="19" spans="1:4" ht="28" customHeight="1">
      <c r="A19" s="40" t="s">
        <v>176</v>
      </c>
      <c r="B19" s="32"/>
      <c r="C19" s="32"/>
      <c r="D19" s="32"/>
    </row>
    <row r="20" spans="1:4" ht="18">
      <c r="A20" s="1" t="s">
        <v>177</v>
      </c>
      <c r="B20" s="1" t="s">
        <v>178</v>
      </c>
      <c r="C20" s="1" t="s">
        <v>179</v>
      </c>
      <c r="D20" s="1" t="s">
        <v>180</v>
      </c>
    </row>
    <row r="21" spans="1:4">
      <c r="A21" s="2" t="s">
        <v>181</v>
      </c>
      <c r="B21" s="3" t="s">
        <v>182</v>
      </c>
      <c r="C21" s="3" t="s">
        <v>183</v>
      </c>
      <c r="D21" s="3" t="s">
        <v>184</v>
      </c>
    </row>
    <row r="22" spans="1:4">
      <c r="A22" s="2" t="s">
        <v>185</v>
      </c>
      <c r="B22" s="3" t="s">
        <v>186</v>
      </c>
      <c r="C22" s="3" t="s">
        <v>187</v>
      </c>
      <c r="D22" s="3"/>
    </row>
    <row r="23" spans="1:4">
      <c r="A23" s="2" t="s">
        <v>188</v>
      </c>
      <c r="B23" s="3" t="s">
        <v>189</v>
      </c>
      <c r="C23" s="3" t="s">
        <v>190</v>
      </c>
      <c r="D23" s="3"/>
    </row>
    <row r="24" spans="1:4">
      <c r="A24" s="2" t="s">
        <v>191</v>
      </c>
      <c r="B24" s="3" t="s">
        <v>192</v>
      </c>
      <c r="C24" s="3" t="s">
        <v>193</v>
      </c>
      <c r="D24" s="3"/>
    </row>
    <row r="25" spans="1:4">
      <c r="A25" s="2" t="s">
        <v>194</v>
      </c>
      <c r="B25" s="3" t="s">
        <v>195</v>
      </c>
      <c r="C25" s="3" t="s">
        <v>196</v>
      </c>
      <c r="D25" s="3" t="s">
        <v>197</v>
      </c>
    </row>
    <row r="26" spans="1:4">
      <c r="A26" s="2" t="s">
        <v>198</v>
      </c>
      <c r="B26" s="3" t="s">
        <v>199</v>
      </c>
      <c r="C26" s="3" t="s">
        <v>200</v>
      </c>
      <c r="D26" s="3" t="s">
        <v>201</v>
      </c>
    </row>
    <row r="27" spans="1:4">
      <c r="A27" s="2" t="s">
        <v>202</v>
      </c>
      <c r="B27" s="3" t="s">
        <v>203</v>
      </c>
      <c r="C27" s="3" t="s">
        <v>204</v>
      </c>
      <c r="D27" s="3"/>
    </row>
  </sheetData>
  <mergeCells count="3">
    <mergeCell ref="A1:D1"/>
    <mergeCell ref="A19:D19"/>
    <mergeCell ref="A2:D2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58ED-873D-8A43-82AF-DC9EB6EF3648}">
  <dimension ref="A1:I56"/>
  <sheetViews>
    <sheetView workbookViewId="0">
      <pane xSplit="3" ySplit="6" topLeftCell="D9" activePane="bottomRight" state="frozen"/>
      <selection pane="topRight"/>
      <selection pane="bottomLeft"/>
      <selection pane="bottomRight" activeCell="H23" sqref="H23"/>
    </sheetView>
  </sheetViews>
  <sheetFormatPr baseColWidth="10" defaultColWidth="8.83203125" defaultRowHeight="17"/>
  <cols>
    <col min="1" max="1" width="5" customWidth="1"/>
    <col min="2" max="2" width="14" customWidth="1"/>
    <col min="3" max="3" width="24" customWidth="1"/>
    <col min="4" max="7" width="13" customWidth="1"/>
    <col min="8" max="8" width="42" customWidth="1"/>
  </cols>
  <sheetData>
    <row r="1" spans="1:9" ht="38" customHeight="1">
      <c r="A1" s="64" t="s">
        <v>534</v>
      </c>
      <c r="B1" s="32"/>
      <c r="C1" s="32"/>
      <c r="D1" s="32"/>
      <c r="E1" s="32"/>
      <c r="F1" s="32"/>
      <c r="G1" s="32"/>
      <c r="H1" s="32"/>
    </row>
    <row r="2" spans="1:9">
      <c r="A2" s="63" t="s">
        <v>597</v>
      </c>
      <c r="B2" s="32"/>
      <c r="C2" s="32"/>
      <c r="D2" s="32"/>
      <c r="E2" s="32"/>
      <c r="F2" s="32"/>
      <c r="G2" s="32"/>
      <c r="H2" s="32"/>
    </row>
    <row r="4" spans="1:9" ht="25" customHeight="1">
      <c r="A4" s="60" t="s">
        <v>533</v>
      </c>
      <c r="B4" s="60" t="s">
        <v>207</v>
      </c>
      <c r="C4" s="60" t="s">
        <v>532</v>
      </c>
      <c r="D4" s="62" t="s">
        <v>3</v>
      </c>
      <c r="E4" s="32"/>
      <c r="F4" s="32"/>
      <c r="G4" s="61" t="s">
        <v>4</v>
      </c>
      <c r="H4" s="60" t="s">
        <v>531</v>
      </c>
    </row>
    <row r="5" spans="1:9" ht="35" customHeight="1">
      <c r="A5" s="57"/>
      <c r="B5" s="57"/>
      <c r="C5" s="57"/>
      <c r="D5" s="59" t="s">
        <v>6</v>
      </c>
      <c r="E5" s="58" t="s">
        <v>7</v>
      </c>
      <c r="F5" s="57" t="s">
        <v>8</v>
      </c>
      <c r="G5" s="58" t="s">
        <v>7</v>
      </c>
      <c r="H5" s="57"/>
    </row>
    <row r="6" spans="1:9" ht="28" customHeight="1">
      <c r="A6" s="48"/>
      <c r="B6" s="48"/>
      <c r="C6" s="48" t="s">
        <v>10</v>
      </c>
      <c r="D6" s="47">
        <v>90372</v>
      </c>
      <c r="E6" s="46">
        <v>75699</v>
      </c>
      <c r="F6" s="47">
        <f>SUM(D6:E6)</f>
        <v>166071</v>
      </c>
      <c r="G6" s="47">
        <v>128642</v>
      </c>
      <c r="H6" s="56" t="s">
        <v>582</v>
      </c>
    </row>
    <row r="7" spans="1:9" ht="26" customHeight="1">
      <c r="A7" s="54"/>
      <c r="B7" s="53" t="s">
        <v>15</v>
      </c>
      <c r="C7" s="52"/>
      <c r="D7" s="52"/>
      <c r="E7" s="52"/>
      <c r="F7" s="52"/>
      <c r="G7" s="52"/>
      <c r="H7" s="52"/>
    </row>
    <row r="8" spans="1:9" ht="32" customHeight="1">
      <c r="A8" s="51" t="s">
        <v>530</v>
      </c>
      <c r="B8" s="51"/>
      <c r="C8" s="50" t="s">
        <v>16</v>
      </c>
      <c r="D8" s="75" t="s">
        <v>17</v>
      </c>
      <c r="E8" s="75" t="s">
        <v>17</v>
      </c>
      <c r="F8" s="76" t="s">
        <v>17</v>
      </c>
      <c r="G8" s="77" t="s">
        <v>17</v>
      </c>
      <c r="H8" s="49" t="s">
        <v>529</v>
      </c>
    </row>
    <row r="9" spans="1:9" ht="32" customHeight="1">
      <c r="A9" s="51" t="s">
        <v>109</v>
      </c>
      <c r="B9" s="51"/>
      <c r="C9" s="50" t="s">
        <v>19</v>
      </c>
      <c r="D9" s="78" t="s">
        <v>599</v>
      </c>
      <c r="E9" s="75" t="s">
        <v>17</v>
      </c>
      <c r="F9" s="73">
        <v>5300</v>
      </c>
      <c r="G9" s="77" t="s">
        <v>17</v>
      </c>
      <c r="H9" s="49" t="s">
        <v>528</v>
      </c>
      <c r="I9" t="s">
        <v>596</v>
      </c>
    </row>
    <row r="10" spans="1:9" ht="32" customHeight="1">
      <c r="A10" s="51" t="s">
        <v>527</v>
      </c>
      <c r="B10" s="51"/>
      <c r="C10" s="50" t="s">
        <v>23</v>
      </c>
      <c r="D10" s="78" t="s">
        <v>599</v>
      </c>
      <c r="E10" s="78">
        <v>100</v>
      </c>
      <c r="F10" s="73">
        <v>5400</v>
      </c>
      <c r="G10" s="77" t="s">
        <v>17</v>
      </c>
      <c r="H10" s="49" t="s">
        <v>526</v>
      </c>
      <c r="I10" t="s">
        <v>594</v>
      </c>
    </row>
    <row r="11" spans="1:9" ht="26" customHeight="1">
      <c r="A11" s="54"/>
      <c r="B11" s="53" t="s">
        <v>449</v>
      </c>
      <c r="C11" s="52"/>
      <c r="D11" s="52"/>
      <c r="E11" s="52"/>
      <c r="F11" s="52"/>
      <c r="G11" s="52"/>
      <c r="H11" s="52"/>
    </row>
    <row r="12" spans="1:9" ht="32" customHeight="1">
      <c r="A12" s="51" t="s">
        <v>525</v>
      </c>
      <c r="B12" s="51"/>
      <c r="C12" s="50" t="s">
        <v>27</v>
      </c>
      <c r="D12" s="75" t="s">
        <v>17</v>
      </c>
      <c r="E12" s="75" t="s">
        <v>17</v>
      </c>
      <c r="F12" s="76" t="s">
        <v>17</v>
      </c>
      <c r="G12" s="77" t="s">
        <v>17</v>
      </c>
      <c r="H12" s="55" t="s">
        <v>524</v>
      </c>
    </row>
    <row r="13" spans="1:9" ht="32" customHeight="1">
      <c r="A13" s="51" t="s">
        <v>523</v>
      </c>
      <c r="B13" s="51"/>
      <c r="C13" s="50" t="s">
        <v>30</v>
      </c>
      <c r="D13" s="78" t="s">
        <v>600</v>
      </c>
      <c r="E13" s="72">
        <v>100</v>
      </c>
      <c r="F13" s="73">
        <v>5100</v>
      </c>
      <c r="G13" s="74">
        <v>100</v>
      </c>
      <c r="H13" s="49" t="s">
        <v>522</v>
      </c>
      <c r="I13" t="s">
        <v>595</v>
      </c>
    </row>
    <row r="14" spans="1:9" ht="26" customHeight="1">
      <c r="A14" s="54"/>
      <c r="B14" s="53" t="s">
        <v>521</v>
      </c>
      <c r="C14" s="52"/>
      <c r="D14" s="52"/>
      <c r="E14" s="52"/>
      <c r="F14" s="52"/>
      <c r="G14" s="52"/>
      <c r="H14" s="52"/>
    </row>
    <row r="15" spans="1:9" ht="32" customHeight="1">
      <c r="A15" s="51" t="s">
        <v>520</v>
      </c>
      <c r="B15" s="51"/>
      <c r="C15" s="50" t="s">
        <v>35</v>
      </c>
      <c r="D15" s="72">
        <v>5200</v>
      </c>
      <c r="E15" s="78" t="s">
        <v>601</v>
      </c>
      <c r="F15" s="73">
        <v>6200</v>
      </c>
      <c r="G15" s="74">
        <v>5000</v>
      </c>
      <c r="H15" s="55" t="s">
        <v>519</v>
      </c>
      <c r="I15" t="s">
        <v>583</v>
      </c>
    </row>
    <row r="16" spans="1:9" ht="32" customHeight="1">
      <c r="A16" s="51" t="s">
        <v>518</v>
      </c>
      <c r="B16" s="51"/>
      <c r="C16" s="50" t="s">
        <v>40</v>
      </c>
      <c r="D16" s="75" t="s">
        <v>17</v>
      </c>
      <c r="E16" s="78" t="s">
        <v>598</v>
      </c>
      <c r="F16" s="73">
        <v>200</v>
      </c>
      <c r="G16" s="74">
        <v>1000</v>
      </c>
      <c r="H16" s="49" t="s">
        <v>517</v>
      </c>
      <c r="I16" t="s">
        <v>584</v>
      </c>
    </row>
    <row r="17" spans="1:9" ht="32" customHeight="1">
      <c r="A17" s="51" t="s">
        <v>516</v>
      </c>
      <c r="B17" s="51"/>
      <c r="C17" s="50" t="s">
        <v>43</v>
      </c>
      <c r="D17" s="75" t="s">
        <v>17</v>
      </c>
      <c r="E17" s="75" t="s">
        <v>17</v>
      </c>
      <c r="F17" s="76" t="s">
        <v>17</v>
      </c>
      <c r="G17" s="77" t="s">
        <v>17</v>
      </c>
      <c r="H17" s="49" t="s">
        <v>515</v>
      </c>
    </row>
    <row r="18" spans="1:9" ht="32" customHeight="1">
      <c r="A18" s="51" t="s">
        <v>514</v>
      </c>
      <c r="B18" s="51"/>
      <c r="C18" s="50" t="s">
        <v>45</v>
      </c>
      <c r="D18" s="75" t="s">
        <v>17</v>
      </c>
      <c r="E18" s="75" t="s">
        <v>17</v>
      </c>
      <c r="F18" s="76" t="s">
        <v>17</v>
      </c>
      <c r="G18" s="77" t="s">
        <v>17</v>
      </c>
      <c r="H18" s="55" t="s">
        <v>513</v>
      </c>
      <c r="I18" t="s">
        <v>585</v>
      </c>
    </row>
    <row r="19" spans="1:9" ht="32" customHeight="1">
      <c r="A19" s="51" t="s">
        <v>512</v>
      </c>
      <c r="B19" s="51"/>
      <c r="C19" s="50" t="s">
        <v>511</v>
      </c>
      <c r="D19" s="75" t="s">
        <v>17</v>
      </c>
      <c r="E19" s="72">
        <v>100</v>
      </c>
      <c r="F19" s="73">
        <v>100</v>
      </c>
      <c r="G19" s="74">
        <v>100</v>
      </c>
      <c r="H19" s="49" t="s">
        <v>510</v>
      </c>
    </row>
    <row r="20" spans="1:9" ht="32" customHeight="1">
      <c r="A20" s="51" t="s">
        <v>509</v>
      </c>
      <c r="B20" s="51"/>
      <c r="C20" s="50" t="s">
        <v>49</v>
      </c>
      <c r="D20" s="75" t="s">
        <v>17</v>
      </c>
      <c r="E20" s="72">
        <v>5000</v>
      </c>
      <c r="F20" s="73">
        <v>5000</v>
      </c>
      <c r="G20" s="74">
        <v>5000</v>
      </c>
      <c r="H20" s="49" t="s">
        <v>508</v>
      </c>
    </row>
    <row r="21" spans="1:9" ht="32" customHeight="1">
      <c r="A21" s="51" t="s">
        <v>507</v>
      </c>
      <c r="B21" s="51"/>
      <c r="C21" s="50" t="s">
        <v>51</v>
      </c>
      <c r="D21" s="75" t="s">
        <v>17</v>
      </c>
      <c r="E21" s="72">
        <v>5000</v>
      </c>
      <c r="F21" s="73">
        <v>5000</v>
      </c>
      <c r="G21" s="74">
        <v>5000</v>
      </c>
      <c r="H21" s="49" t="s">
        <v>506</v>
      </c>
    </row>
    <row r="22" spans="1:9" ht="32" customHeight="1">
      <c r="A22" s="51" t="s">
        <v>505</v>
      </c>
      <c r="B22" s="51"/>
      <c r="C22" s="50" t="s">
        <v>504</v>
      </c>
      <c r="D22" s="75" t="s">
        <v>17</v>
      </c>
      <c r="E22" s="72">
        <v>1000</v>
      </c>
      <c r="F22" s="73">
        <v>1000</v>
      </c>
      <c r="G22" s="74">
        <v>1000</v>
      </c>
      <c r="H22" s="49" t="s">
        <v>503</v>
      </c>
    </row>
    <row r="23" spans="1:9" ht="32" customHeight="1">
      <c r="A23" s="51" t="s">
        <v>502</v>
      </c>
      <c r="B23" s="51"/>
      <c r="C23" s="50" t="s">
        <v>501</v>
      </c>
      <c r="D23" s="75" t="s">
        <v>17</v>
      </c>
      <c r="E23" s="72">
        <v>8000</v>
      </c>
      <c r="F23" s="73">
        <v>8000</v>
      </c>
      <c r="G23" s="74">
        <v>8000</v>
      </c>
      <c r="H23" s="49" t="s">
        <v>500</v>
      </c>
    </row>
    <row r="24" spans="1:9" ht="26" customHeight="1">
      <c r="A24" s="54"/>
      <c r="B24" s="53" t="s">
        <v>499</v>
      </c>
      <c r="C24" s="52"/>
      <c r="D24" s="52"/>
      <c r="E24" s="52"/>
      <c r="F24" s="52"/>
      <c r="G24" s="52"/>
      <c r="H24" s="52"/>
    </row>
    <row r="25" spans="1:9" ht="32" customHeight="1">
      <c r="A25" s="51" t="s">
        <v>498</v>
      </c>
      <c r="B25" s="51"/>
      <c r="C25" s="50" t="s">
        <v>59</v>
      </c>
      <c r="D25" s="75" t="s">
        <v>17</v>
      </c>
      <c r="E25" s="72">
        <v>1000</v>
      </c>
      <c r="F25" s="130" t="s">
        <v>603</v>
      </c>
      <c r="G25" s="78" t="s">
        <v>604</v>
      </c>
      <c r="H25" s="49" t="s">
        <v>497</v>
      </c>
      <c r="I25" t="s">
        <v>587</v>
      </c>
    </row>
    <row r="26" spans="1:9" ht="32" customHeight="1">
      <c r="A26" s="51" t="s">
        <v>367</v>
      </c>
      <c r="B26" s="51"/>
      <c r="C26" s="50" t="s">
        <v>61</v>
      </c>
      <c r="D26" s="75" t="s">
        <v>17</v>
      </c>
      <c r="E26" s="75" t="s">
        <v>17</v>
      </c>
      <c r="F26" s="76" t="s">
        <v>17</v>
      </c>
      <c r="G26" s="77" t="s">
        <v>17</v>
      </c>
      <c r="H26" s="49" t="s">
        <v>496</v>
      </c>
    </row>
    <row r="27" spans="1:9" ht="32" customHeight="1">
      <c r="A27" s="51" t="s">
        <v>495</v>
      </c>
      <c r="B27" s="51"/>
      <c r="C27" s="50" t="s">
        <v>63</v>
      </c>
      <c r="D27" s="78" t="s">
        <v>602</v>
      </c>
      <c r="E27" s="75" t="s">
        <v>17</v>
      </c>
      <c r="F27" s="73">
        <v>2000</v>
      </c>
      <c r="G27" s="77" t="s">
        <v>17</v>
      </c>
      <c r="H27" s="49" t="s">
        <v>494</v>
      </c>
      <c r="I27" t="s">
        <v>588</v>
      </c>
    </row>
    <row r="28" spans="1:9" ht="32" customHeight="1">
      <c r="A28" s="51" t="s">
        <v>493</v>
      </c>
      <c r="B28" s="51"/>
      <c r="C28" s="50" t="s">
        <v>66</v>
      </c>
      <c r="D28" s="75" t="s">
        <v>17</v>
      </c>
      <c r="E28" s="72">
        <v>1000</v>
      </c>
      <c r="F28" s="73">
        <v>1000</v>
      </c>
      <c r="G28" s="74">
        <v>1000</v>
      </c>
      <c r="H28" s="49" t="s">
        <v>492</v>
      </c>
      <c r="I28" t="s">
        <v>590</v>
      </c>
    </row>
    <row r="29" spans="1:9" ht="32" customHeight="1">
      <c r="A29" s="51" t="s">
        <v>491</v>
      </c>
      <c r="B29" s="51"/>
      <c r="C29" s="50" t="s">
        <v>68</v>
      </c>
      <c r="D29" s="78" t="s">
        <v>602</v>
      </c>
      <c r="E29" s="75" t="s">
        <v>17</v>
      </c>
      <c r="F29" s="73">
        <v>2000</v>
      </c>
      <c r="G29" s="77" t="s">
        <v>17</v>
      </c>
      <c r="H29" s="49" t="s">
        <v>490</v>
      </c>
      <c r="I29" t="s">
        <v>589</v>
      </c>
    </row>
    <row r="30" spans="1:9" ht="32" customHeight="1">
      <c r="A30" s="51" t="s">
        <v>100</v>
      </c>
      <c r="B30" s="51"/>
      <c r="C30" s="50" t="s">
        <v>70</v>
      </c>
      <c r="D30" s="75" t="s">
        <v>17</v>
      </c>
      <c r="E30" s="75" t="s">
        <v>17</v>
      </c>
      <c r="F30" s="76" t="s">
        <v>17</v>
      </c>
      <c r="G30" s="77" t="s">
        <v>17</v>
      </c>
      <c r="H30" s="49" t="s">
        <v>489</v>
      </c>
    </row>
    <row r="31" spans="1:9" ht="32" customHeight="1">
      <c r="A31" s="51" t="s">
        <v>271</v>
      </c>
      <c r="B31" s="51"/>
      <c r="C31" s="50" t="s">
        <v>72</v>
      </c>
      <c r="D31" s="75" t="s">
        <v>17</v>
      </c>
      <c r="E31" s="75" t="s">
        <v>17</v>
      </c>
      <c r="F31" s="76" t="s">
        <v>17</v>
      </c>
      <c r="G31" s="77" t="s">
        <v>17</v>
      </c>
      <c r="H31" s="49" t="s">
        <v>489</v>
      </c>
    </row>
    <row r="32" spans="1:9" ht="26" customHeight="1">
      <c r="A32" s="54"/>
      <c r="B32" s="53" t="s">
        <v>488</v>
      </c>
      <c r="C32" s="52"/>
      <c r="D32" s="52"/>
      <c r="E32" s="52"/>
      <c r="F32" s="52"/>
      <c r="G32" s="52"/>
      <c r="H32" s="52"/>
    </row>
    <row r="33" spans="1:9" ht="32" customHeight="1">
      <c r="A33" s="51" t="s">
        <v>487</v>
      </c>
      <c r="B33" s="51"/>
      <c r="C33" s="50" t="s">
        <v>486</v>
      </c>
      <c r="D33" s="67" t="s">
        <v>17</v>
      </c>
      <c r="E33" s="72">
        <v>1000</v>
      </c>
      <c r="F33" s="73">
        <v>1000</v>
      </c>
      <c r="G33" s="74">
        <v>1000</v>
      </c>
      <c r="H33" s="49" t="s">
        <v>485</v>
      </c>
    </row>
    <row r="34" spans="1:9" ht="32" customHeight="1">
      <c r="A34" s="51" t="s">
        <v>484</v>
      </c>
      <c r="B34" s="51"/>
      <c r="C34" s="50" t="s">
        <v>483</v>
      </c>
      <c r="D34" s="67" t="s">
        <v>17</v>
      </c>
      <c r="E34" s="72">
        <v>1000</v>
      </c>
      <c r="F34" s="73">
        <v>1000</v>
      </c>
      <c r="G34" s="74">
        <v>1000</v>
      </c>
      <c r="H34" s="49" t="s">
        <v>482</v>
      </c>
    </row>
    <row r="35" spans="1:9" ht="32" customHeight="1">
      <c r="A35" s="51" t="s">
        <v>481</v>
      </c>
      <c r="B35" s="51"/>
      <c r="C35" s="50" t="s">
        <v>480</v>
      </c>
      <c r="D35" s="67" t="s">
        <v>17</v>
      </c>
      <c r="E35" s="72">
        <v>1000</v>
      </c>
      <c r="F35" s="73">
        <v>1000</v>
      </c>
      <c r="G35" s="74">
        <v>1000</v>
      </c>
      <c r="H35" s="49" t="s">
        <v>479</v>
      </c>
    </row>
    <row r="36" spans="1:9" ht="32" customHeight="1">
      <c r="A36" s="51" t="s">
        <v>261</v>
      </c>
      <c r="B36" s="51"/>
      <c r="C36" s="50" t="s">
        <v>478</v>
      </c>
      <c r="D36" s="67" t="s">
        <v>17</v>
      </c>
      <c r="E36" s="72">
        <v>1000</v>
      </c>
      <c r="F36" s="73">
        <v>1000</v>
      </c>
      <c r="G36" s="74">
        <v>1000</v>
      </c>
      <c r="H36" s="49" t="s">
        <v>477</v>
      </c>
    </row>
    <row r="37" spans="1:9" ht="26" customHeight="1">
      <c r="A37" s="54"/>
      <c r="B37" s="53" t="s">
        <v>476</v>
      </c>
      <c r="C37" s="52"/>
      <c r="D37" s="52"/>
      <c r="E37" s="52"/>
      <c r="F37" s="52"/>
      <c r="G37" s="52"/>
      <c r="H37" s="52"/>
    </row>
    <row r="38" spans="1:9" ht="32" customHeight="1">
      <c r="A38" s="51" t="s">
        <v>475</v>
      </c>
      <c r="B38" s="51"/>
      <c r="C38" s="50" t="s">
        <v>86</v>
      </c>
      <c r="D38" s="72">
        <v>250</v>
      </c>
      <c r="E38" s="131" t="s">
        <v>88</v>
      </c>
      <c r="F38" s="69" t="s">
        <v>89</v>
      </c>
      <c r="G38" s="71" t="s">
        <v>90</v>
      </c>
      <c r="H38" s="49" t="s">
        <v>474</v>
      </c>
      <c r="I38" t="s">
        <v>591</v>
      </c>
    </row>
    <row r="39" spans="1:9" ht="32" customHeight="1">
      <c r="A39" s="51" t="s">
        <v>473</v>
      </c>
      <c r="B39" s="51"/>
      <c r="C39" s="50" t="s">
        <v>94</v>
      </c>
      <c r="D39" s="72">
        <v>250</v>
      </c>
      <c r="E39" s="131" t="s">
        <v>88</v>
      </c>
      <c r="F39" s="69" t="s">
        <v>89</v>
      </c>
      <c r="G39" s="71" t="s">
        <v>95</v>
      </c>
      <c r="H39" s="49" t="s">
        <v>472</v>
      </c>
      <c r="I39" t="s">
        <v>591</v>
      </c>
    </row>
    <row r="40" spans="1:9" ht="26" customHeight="1">
      <c r="A40" s="54"/>
      <c r="B40" s="53" t="s">
        <v>85</v>
      </c>
      <c r="C40" s="52"/>
      <c r="D40" s="52"/>
      <c r="E40" s="52"/>
      <c r="F40" s="52"/>
      <c r="G40" s="52"/>
      <c r="H40" s="52"/>
    </row>
    <row r="41" spans="1:9" ht="32" customHeight="1">
      <c r="A41" s="51" t="s">
        <v>272</v>
      </c>
      <c r="B41" s="51"/>
      <c r="C41" s="50" t="s">
        <v>99</v>
      </c>
      <c r="D41" s="72">
        <v>20</v>
      </c>
      <c r="E41" s="132">
        <v>100</v>
      </c>
      <c r="F41" s="73">
        <v>20</v>
      </c>
      <c r="G41" s="71" t="s">
        <v>101</v>
      </c>
      <c r="H41" s="49" t="s">
        <v>471</v>
      </c>
      <c r="I41" t="s">
        <v>605</v>
      </c>
    </row>
    <row r="42" spans="1:9" ht="32" customHeight="1">
      <c r="A42" s="51" t="s">
        <v>470</v>
      </c>
      <c r="B42" s="51"/>
      <c r="C42" s="50" t="s">
        <v>103</v>
      </c>
      <c r="D42" s="75" t="s">
        <v>17</v>
      </c>
      <c r="E42" s="72">
        <v>20</v>
      </c>
      <c r="F42" s="73">
        <v>20</v>
      </c>
      <c r="G42" s="74">
        <v>50</v>
      </c>
      <c r="H42" s="49" t="s">
        <v>469</v>
      </c>
    </row>
    <row r="43" spans="1:9" ht="32" customHeight="1">
      <c r="A43" s="51" t="s">
        <v>468</v>
      </c>
      <c r="B43" s="51"/>
      <c r="C43" s="50" t="s">
        <v>106</v>
      </c>
      <c r="D43" s="75" t="s">
        <v>17</v>
      </c>
      <c r="E43" s="72">
        <v>2000</v>
      </c>
      <c r="F43" s="73">
        <v>2000</v>
      </c>
      <c r="G43" s="74">
        <v>2000</v>
      </c>
      <c r="H43" s="49" t="s">
        <v>467</v>
      </c>
    </row>
    <row r="44" spans="1:9" ht="32" customHeight="1">
      <c r="A44" s="51" t="s">
        <v>466</v>
      </c>
      <c r="B44" s="51"/>
      <c r="C44" s="50" t="s">
        <v>465</v>
      </c>
      <c r="D44" s="72">
        <v>2</v>
      </c>
      <c r="E44" s="75" t="s">
        <v>17</v>
      </c>
      <c r="F44" s="73">
        <v>2</v>
      </c>
      <c r="G44" s="70" t="s">
        <v>17</v>
      </c>
      <c r="H44" s="55" t="s">
        <v>462</v>
      </c>
    </row>
    <row r="45" spans="1:9" ht="32" customHeight="1">
      <c r="A45" s="51" t="s">
        <v>464</v>
      </c>
      <c r="B45" s="51"/>
      <c r="C45" s="50" t="s">
        <v>463</v>
      </c>
      <c r="D45" s="72">
        <v>2</v>
      </c>
      <c r="E45" s="75" t="s">
        <v>17</v>
      </c>
      <c r="F45" s="73">
        <v>2</v>
      </c>
      <c r="G45" s="70" t="s">
        <v>17</v>
      </c>
      <c r="H45" s="55" t="s">
        <v>462</v>
      </c>
    </row>
    <row r="46" spans="1:9" ht="26" customHeight="1">
      <c r="A46" s="54"/>
      <c r="B46" s="53" t="s">
        <v>461</v>
      </c>
      <c r="C46" s="52"/>
      <c r="D46" s="52"/>
      <c r="E46" s="52"/>
      <c r="F46" s="52"/>
      <c r="G46" s="52"/>
      <c r="H46" s="52"/>
    </row>
    <row r="47" spans="1:9" ht="32" customHeight="1">
      <c r="A47" s="51" t="s">
        <v>460</v>
      </c>
      <c r="B47" s="51"/>
      <c r="C47" s="50" t="s">
        <v>115</v>
      </c>
      <c r="D47" s="67" t="s">
        <v>17</v>
      </c>
      <c r="E47" s="72">
        <v>2000</v>
      </c>
      <c r="F47" s="130" t="s">
        <v>606</v>
      </c>
      <c r="G47" s="74">
        <v>3000</v>
      </c>
      <c r="H47" s="49" t="s">
        <v>459</v>
      </c>
      <c r="I47" t="s">
        <v>592</v>
      </c>
    </row>
    <row r="48" spans="1:9" ht="32" customHeight="1">
      <c r="A48" s="51" t="s">
        <v>458</v>
      </c>
      <c r="B48" s="51"/>
      <c r="C48" s="50" t="s">
        <v>118</v>
      </c>
      <c r="D48" s="67" t="s">
        <v>17</v>
      </c>
      <c r="E48" s="72">
        <v>2000</v>
      </c>
      <c r="F48" s="130" t="s">
        <v>606</v>
      </c>
      <c r="G48" s="74">
        <v>3000</v>
      </c>
      <c r="H48" s="49" t="s">
        <v>457</v>
      </c>
      <c r="I48" t="s">
        <v>592</v>
      </c>
    </row>
    <row r="49" spans="1:9" ht="32" customHeight="1">
      <c r="A49" s="51" t="s">
        <v>456</v>
      </c>
      <c r="B49" s="51"/>
      <c r="C49" s="50" t="s">
        <v>120</v>
      </c>
      <c r="D49" s="67" t="s">
        <v>17</v>
      </c>
      <c r="E49" s="72">
        <v>1000</v>
      </c>
      <c r="F49" s="130" t="s">
        <v>603</v>
      </c>
      <c r="G49" s="74">
        <v>2000</v>
      </c>
      <c r="H49" s="49" t="s">
        <v>455</v>
      </c>
      <c r="I49" t="s">
        <v>593</v>
      </c>
    </row>
    <row r="50" spans="1:9" ht="32" customHeight="1">
      <c r="A50" s="51" t="s">
        <v>454</v>
      </c>
      <c r="B50" s="51"/>
      <c r="C50" s="50" t="s">
        <v>123</v>
      </c>
      <c r="D50" s="67" t="s">
        <v>17</v>
      </c>
      <c r="E50" s="72">
        <v>500</v>
      </c>
      <c r="F50" s="130" t="s">
        <v>607</v>
      </c>
      <c r="G50" s="74">
        <v>2000</v>
      </c>
      <c r="H50" s="49" t="s">
        <v>453</v>
      </c>
      <c r="I50" t="s">
        <v>593</v>
      </c>
    </row>
    <row r="51" spans="1:9" ht="32" customHeight="1">
      <c r="A51" s="51" t="s">
        <v>260</v>
      </c>
      <c r="B51" s="51"/>
      <c r="C51" s="50" t="s">
        <v>126</v>
      </c>
      <c r="D51" s="67" t="s">
        <v>17</v>
      </c>
      <c r="E51" s="68" t="s">
        <v>127</v>
      </c>
      <c r="F51" s="69" t="s">
        <v>89</v>
      </c>
      <c r="G51" s="71" t="s">
        <v>128</v>
      </c>
      <c r="H51" s="49" t="s">
        <v>452</v>
      </c>
    </row>
    <row r="52" spans="1:9" ht="30" customHeight="1">
      <c r="A52" s="48"/>
      <c r="B52" s="48"/>
      <c r="C52" s="48" t="s">
        <v>130</v>
      </c>
      <c r="D52" s="47">
        <v>90372</v>
      </c>
      <c r="E52" s="47">
        <v>75699</v>
      </c>
      <c r="F52" s="47">
        <f>SUM(D52:E52)</f>
        <v>166071</v>
      </c>
      <c r="G52" s="46" t="s">
        <v>13</v>
      </c>
      <c r="H52" s="45" t="s">
        <v>451</v>
      </c>
    </row>
    <row r="56" spans="1:9">
      <c r="G56">
        <v>1</v>
      </c>
    </row>
  </sheetData>
  <mergeCells count="11">
    <mergeCell ref="B32:H32"/>
    <mergeCell ref="B46:H46"/>
    <mergeCell ref="A2:H2"/>
    <mergeCell ref="B24:H24"/>
    <mergeCell ref="D4:F4"/>
    <mergeCell ref="B7:H7"/>
    <mergeCell ref="A1:H1"/>
    <mergeCell ref="B11:H11"/>
    <mergeCell ref="B37:H37"/>
    <mergeCell ref="B40:H40"/>
    <mergeCell ref="B14:H14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6"/>
  <sheetViews>
    <sheetView tabSelected="1" workbookViewId="0">
      <selection activeCell="B12" sqref="B12"/>
    </sheetView>
  </sheetViews>
  <sheetFormatPr baseColWidth="10" defaultColWidth="8.83203125" defaultRowHeight="17"/>
  <cols>
    <col min="1" max="1" width="21.33203125" customWidth="1"/>
    <col min="2" max="2" width="38" customWidth="1"/>
    <col min="3" max="6" width="12" customWidth="1"/>
    <col min="7" max="7" width="14" customWidth="1"/>
    <col min="8" max="8" width="50" customWidth="1"/>
  </cols>
  <sheetData>
    <row r="1" spans="1:8" ht="35" customHeight="1">
      <c r="A1" s="39" t="s">
        <v>205</v>
      </c>
      <c r="B1" s="32"/>
      <c r="C1" s="32"/>
      <c r="D1" s="32"/>
      <c r="E1" s="32"/>
      <c r="F1" s="32"/>
      <c r="G1" s="32"/>
      <c r="H1" s="32"/>
    </row>
    <row r="2" spans="1:8">
      <c r="A2" s="43" t="s">
        <v>206</v>
      </c>
      <c r="B2" s="32"/>
      <c r="C2" s="32"/>
      <c r="D2" s="32"/>
      <c r="E2" s="32"/>
      <c r="F2" s="32"/>
      <c r="G2" s="32"/>
      <c r="H2" s="32"/>
    </row>
    <row r="4" spans="1:8" ht="35" customHeight="1">
      <c r="A4" s="1" t="s">
        <v>207</v>
      </c>
      <c r="B4" s="1" t="s">
        <v>208</v>
      </c>
      <c r="C4" s="1" t="s">
        <v>209</v>
      </c>
      <c r="D4" s="79" t="s">
        <v>210</v>
      </c>
      <c r="E4" s="82" t="s">
        <v>211</v>
      </c>
      <c r="F4" s="1" t="s">
        <v>212</v>
      </c>
      <c r="G4" s="1" t="s">
        <v>213</v>
      </c>
      <c r="H4" s="1" t="s">
        <v>5</v>
      </c>
    </row>
    <row r="5" spans="1:8" ht="38" customHeight="1">
      <c r="A5" s="42" t="s">
        <v>214</v>
      </c>
      <c r="B5" s="3" t="s">
        <v>30</v>
      </c>
      <c r="C5" s="5" t="s">
        <v>215</v>
      </c>
      <c r="D5" s="80" t="s">
        <v>216</v>
      </c>
      <c r="E5" s="83" t="s">
        <v>215</v>
      </c>
      <c r="F5" s="6" t="s">
        <v>217</v>
      </c>
      <c r="G5" s="7" t="s">
        <v>218</v>
      </c>
      <c r="H5" s="8" t="s">
        <v>219</v>
      </c>
    </row>
    <row r="6" spans="1:8" ht="38" customHeight="1">
      <c r="A6" s="35"/>
      <c r="B6" s="3" t="s">
        <v>23</v>
      </c>
      <c r="C6" s="9" t="s">
        <v>17</v>
      </c>
      <c r="D6" s="81" t="s">
        <v>17</v>
      </c>
      <c r="E6" s="83" t="s">
        <v>215</v>
      </c>
      <c r="F6" s="6" t="s">
        <v>220</v>
      </c>
      <c r="G6" s="7" t="s">
        <v>218</v>
      </c>
      <c r="H6" s="8" t="s">
        <v>221</v>
      </c>
    </row>
    <row r="7" spans="1:8" ht="38" customHeight="1">
      <c r="A7" s="42" t="s">
        <v>165</v>
      </c>
      <c r="B7" s="3" t="s">
        <v>222</v>
      </c>
      <c r="C7" s="5" t="s">
        <v>223</v>
      </c>
      <c r="D7" s="80" t="s">
        <v>224</v>
      </c>
      <c r="E7" s="83" t="s">
        <v>223</v>
      </c>
      <c r="F7" s="6" t="s">
        <v>225</v>
      </c>
      <c r="G7" s="7" t="s">
        <v>226</v>
      </c>
      <c r="H7" s="8" t="s">
        <v>227</v>
      </c>
    </row>
    <row r="8" spans="1:8" ht="38" customHeight="1">
      <c r="A8" s="35"/>
      <c r="B8" s="3" t="s">
        <v>228</v>
      </c>
      <c r="C8" s="5" t="s">
        <v>229</v>
      </c>
      <c r="D8" s="80" t="s">
        <v>230</v>
      </c>
      <c r="E8" s="83" t="s">
        <v>231</v>
      </c>
      <c r="F8" s="6" t="s">
        <v>232</v>
      </c>
      <c r="G8" s="7" t="s">
        <v>226</v>
      </c>
      <c r="H8" s="8" t="s">
        <v>233</v>
      </c>
    </row>
    <row r="9" spans="1:8" ht="38" customHeight="1">
      <c r="A9" s="42" t="s">
        <v>94</v>
      </c>
      <c r="B9" s="3" t="s">
        <v>234</v>
      </c>
      <c r="C9" s="5" t="s">
        <v>215</v>
      </c>
      <c r="D9" s="80" t="s">
        <v>235</v>
      </c>
      <c r="E9" s="84" t="s">
        <v>236</v>
      </c>
      <c r="F9" s="10" t="s">
        <v>17</v>
      </c>
      <c r="G9" s="7" t="s">
        <v>218</v>
      </c>
      <c r="H9" s="8" t="s">
        <v>237</v>
      </c>
    </row>
    <row r="10" spans="1:8" ht="38" customHeight="1">
      <c r="A10" s="34"/>
      <c r="B10" s="3" t="s">
        <v>238</v>
      </c>
      <c r="C10" s="5" t="s">
        <v>239</v>
      </c>
      <c r="D10" s="80" t="s">
        <v>240</v>
      </c>
      <c r="E10" s="83" t="s">
        <v>239</v>
      </c>
      <c r="F10" s="6" t="s">
        <v>241</v>
      </c>
      <c r="G10" s="7" t="s">
        <v>218</v>
      </c>
      <c r="H10" s="8" t="s">
        <v>242</v>
      </c>
    </row>
    <row r="11" spans="1:8" ht="38" customHeight="1">
      <c r="A11" s="34"/>
      <c r="B11" s="3" t="s">
        <v>243</v>
      </c>
      <c r="C11" s="5" t="s">
        <v>244</v>
      </c>
      <c r="D11" s="80" t="s">
        <v>245</v>
      </c>
      <c r="E11" s="83" t="s">
        <v>246</v>
      </c>
      <c r="F11" s="6" t="s">
        <v>247</v>
      </c>
      <c r="G11" s="7" t="s">
        <v>218</v>
      </c>
      <c r="H11" s="8" t="s">
        <v>248</v>
      </c>
    </row>
    <row r="12" spans="1:8" ht="38" customHeight="1">
      <c r="A12" s="34"/>
      <c r="B12" s="3" t="s">
        <v>249</v>
      </c>
      <c r="C12" s="5" t="s">
        <v>215</v>
      </c>
      <c r="D12" s="80" t="s">
        <v>250</v>
      </c>
      <c r="E12" s="83" t="s">
        <v>215</v>
      </c>
      <c r="F12" s="6" t="s">
        <v>245</v>
      </c>
      <c r="G12" s="7" t="s">
        <v>218</v>
      </c>
      <c r="H12" s="8" t="s">
        <v>251</v>
      </c>
    </row>
    <row r="13" spans="1:8" ht="38" customHeight="1">
      <c r="A13" s="34"/>
      <c r="B13" s="3" t="s">
        <v>252</v>
      </c>
      <c r="C13" s="5" t="s">
        <v>253</v>
      </c>
      <c r="D13" s="80" t="s">
        <v>254</v>
      </c>
      <c r="E13" s="83" t="s">
        <v>255</v>
      </c>
      <c r="F13" s="6" t="s">
        <v>256</v>
      </c>
      <c r="G13" s="7" t="s">
        <v>218</v>
      </c>
      <c r="H13" s="8" t="s">
        <v>257</v>
      </c>
    </row>
    <row r="14" spans="1:8" ht="38" customHeight="1">
      <c r="A14" s="35"/>
      <c r="B14" s="3" t="s">
        <v>258</v>
      </c>
      <c r="C14" s="5" t="s">
        <v>259</v>
      </c>
      <c r="D14" s="80" t="s">
        <v>260</v>
      </c>
      <c r="E14" s="83" t="s">
        <v>253</v>
      </c>
      <c r="F14" s="6" t="s">
        <v>261</v>
      </c>
      <c r="G14" s="7" t="s">
        <v>218</v>
      </c>
      <c r="H14" s="8" t="s">
        <v>262</v>
      </c>
    </row>
    <row r="15" spans="1:8" ht="38" customHeight="1">
      <c r="A15" s="42" t="s">
        <v>263</v>
      </c>
      <c r="B15" s="3" t="s">
        <v>264</v>
      </c>
      <c r="C15" s="5" t="s">
        <v>215</v>
      </c>
      <c r="D15" s="80" t="s">
        <v>265</v>
      </c>
      <c r="E15" s="84" t="s">
        <v>236</v>
      </c>
      <c r="F15" s="10" t="s">
        <v>17</v>
      </c>
      <c r="G15" s="7" t="s">
        <v>218</v>
      </c>
      <c r="H15" s="8" t="s">
        <v>266</v>
      </c>
    </row>
    <row r="16" spans="1:8" ht="38" customHeight="1">
      <c r="A16" s="34"/>
      <c r="B16" s="3" t="s">
        <v>267</v>
      </c>
      <c r="C16" s="5" t="s">
        <v>244</v>
      </c>
      <c r="D16" s="80" t="s">
        <v>268</v>
      </c>
      <c r="E16" s="84" t="s">
        <v>236</v>
      </c>
      <c r="F16" s="10" t="s">
        <v>17</v>
      </c>
      <c r="G16" s="7" t="s">
        <v>218</v>
      </c>
      <c r="H16" s="8" t="s">
        <v>269</v>
      </c>
    </row>
    <row r="17" spans="1:9" ht="38" customHeight="1">
      <c r="A17" s="34"/>
      <c r="B17" s="3" t="s">
        <v>270</v>
      </c>
      <c r="C17" s="5" t="s">
        <v>246</v>
      </c>
      <c r="D17" s="80" t="s">
        <v>271</v>
      </c>
      <c r="E17" s="83" t="s">
        <v>246</v>
      </c>
      <c r="F17" s="6" t="s">
        <v>272</v>
      </c>
      <c r="G17" s="7" t="s">
        <v>218</v>
      </c>
      <c r="H17" s="8" t="s">
        <v>273</v>
      </c>
      <c r="I17" t="s">
        <v>586</v>
      </c>
    </row>
    <row r="18" spans="1:9" ht="38" customHeight="1">
      <c r="A18" s="34"/>
      <c r="B18" s="3" t="s">
        <v>274</v>
      </c>
      <c r="C18" s="5" t="s">
        <v>244</v>
      </c>
      <c r="D18" s="80" t="s">
        <v>275</v>
      </c>
      <c r="E18" s="83" t="s">
        <v>239</v>
      </c>
      <c r="F18" s="6" t="s">
        <v>276</v>
      </c>
      <c r="G18" s="7" t="s">
        <v>218</v>
      </c>
      <c r="H18" s="8" t="s">
        <v>277</v>
      </c>
      <c r="I18" t="s">
        <v>586</v>
      </c>
    </row>
    <row r="19" spans="1:9" ht="38" customHeight="1">
      <c r="A19" s="35"/>
      <c r="B19" s="3" t="s">
        <v>278</v>
      </c>
      <c r="C19" s="5" t="s">
        <v>279</v>
      </c>
      <c r="D19" s="80" t="s">
        <v>280</v>
      </c>
      <c r="E19" s="83" t="s">
        <v>279</v>
      </c>
      <c r="F19" s="6" t="s">
        <v>281</v>
      </c>
      <c r="G19" s="7" t="s">
        <v>218</v>
      </c>
      <c r="H19" s="8" t="s">
        <v>282</v>
      </c>
    </row>
    <row r="20" spans="1:9" ht="38" customHeight="1">
      <c r="A20" s="42" t="s">
        <v>283</v>
      </c>
      <c r="B20" s="3" t="s">
        <v>284</v>
      </c>
      <c r="C20" s="5" t="s">
        <v>285</v>
      </c>
      <c r="D20" s="80" t="s">
        <v>286</v>
      </c>
      <c r="E20" s="83" t="s">
        <v>259</v>
      </c>
      <c r="F20" s="6" t="s">
        <v>287</v>
      </c>
      <c r="G20" s="7" t="s">
        <v>218</v>
      </c>
      <c r="H20" s="8" t="s">
        <v>288</v>
      </c>
    </row>
    <row r="21" spans="1:9" ht="38" customHeight="1">
      <c r="A21" s="34"/>
      <c r="B21" s="3" t="s">
        <v>289</v>
      </c>
      <c r="C21" s="5" t="s">
        <v>259</v>
      </c>
      <c r="D21" s="80" t="s">
        <v>290</v>
      </c>
      <c r="E21" s="84" t="s">
        <v>17</v>
      </c>
      <c r="F21" s="10" t="s">
        <v>17</v>
      </c>
      <c r="G21" s="7" t="s">
        <v>218</v>
      </c>
      <c r="H21" s="8" t="s">
        <v>291</v>
      </c>
    </row>
    <row r="22" spans="1:9" ht="38" customHeight="1">
      <c r="A22" s="34"/>
      <c r="B22" s="3" t="s">
        <v>292</v>
      </c>
      <c r="C22" s="9" t="s">
        <v>17</v>
      </c>
      <c r="D22" s="81" t="s">
        <v>17</v>
      </c>
      <c r="E22" s="83" t="s">
        <v>293</v>
      </c>
      <c r="F22" s="6" t="s">
        <v>294</v>
      </c>
      <c r="G22" s="7" t="s">
        <v>218</v>
      </c>
      <c r="H22" s="8" t="s">
        <v>295</v>
      </c>
    </row>
    <row r="23" spans="1:9" ht="38" customHeight="1">
      <c r="A23" s="34"/>
      <c r="B23" s="3" t="s">
        <v>296</v>
      </c>
      <c r="C23" s="5" t="s">
        <v>215</v>
      </c>
      <c r="D23" s="80" t="s">
        <v>272</v>
      </c>
      <c r="E23" s="83" t="s">
        <v>215</v>
      </c>
      <c r="F23" s="6" t="s">
        <v>297</v>
      </c>
      <c r="G23" s="7" t="s">
        <v>218</v>
      </c>
      <c r="H23" s="8" t="s">
        <v>298</v>
      </c>
    </row>
    <row r="24" spans="1:9" ht="38" customHeight="1">
      <c r="A24" s="34"/>
      <c r="B24" s="3" t="s">
        <v>299</v>
      </c>
      <c r="C24" s="5" t="s">
        <v>255</v>
      </c>
      <c r="D24" s="80" t="s">
        <v>300</v>
      </c>
      <c r="E24" s="83" t="s">
        <v>255</v>
      </c>
      <c r="F24" s="6" t="s">
        <v>301</v>
      </c>
      <c r="G24" s="7" t="s">
        <v>218</v>
      </c>
      <c r="H24" s="8" t="s">
        <v>302</v>
      </c>
    </row>
    <row r="25" spans="1:9" ht="38" customHeight="1">
      <c r="A25" s="34"/>
      <c r="B25" s="3" t="s">
        <v>303</v>
      </c>
      <c r="C25" s="5" t="s">
        <v>285</v>
      </c>
      <c r="D25" s="80" t="s">
        <v>304</v>
      </c>
      <c r="E25" s="83" t="s">
        <v>285</v>
      </c>
      <c r="F25" s="6" t="s">
        <v>305</v>
      </c>
      <c r="G25" s="7" t="s">
        <v>218</v>
      </c>
      <c r="H25" s="8" t="s">
        <v>306</v>
      </c>
    </row>
    <row r="26" spans="1:9" ht="38" customHeight="1">
      <c r="A26" s="34"/>
      <c r="B26" s="3" t="s">
        <v>307</v>
      </c>
      <c r="C26" s="5" t="s">
        <v>285</v>
      </c>
      <c r="D26" s="80" t="s">
        <v>64</v>
      </c>
      <c r="E26" s="83" t="s">
        <v>285</v>
      </c>
      <c r="F26" s="6" t="s">
        <v>308</v>
      </c>
      <c r="G26" s="7" t="s">
        <v>218</v>
      </c>
      <c r="H26" s="8" t="s">
        <v>309</v>
      </c>
    </row>
    <row r="27" spans="1:9" ht="38" customHeight="1">
      <c r="A27" s="34"/>
      <c r="B27" s="3" t="s">
        <v>310</v>
      </c>
      <c r="C27" s="5" t="s">
        <v>215</v>
      </c>
      <c r="D27" s="80" t="s">
        <v>311</v>
      </c>
      <c r="E27" s="83" t="s">
        <v>215</v>
      </c>
      <c r="F27" s="6" t="s">
        <v>312</v>
      </c>
      <c r="G27" s="7" t="s">
        <v>218</v>
      </c>
      <c r="H27" s="8" t="s">
        <v>313</v>
      </c>
    </row>
    <row r="28" spans="1:9" ht="38" customHeight="1">
      <c r="A28" s="34"/>
      <c r="B28" s="3" t="s">
        <v>314</v>
      </c>
      <c r="C28" s="5" t="s">
        <v>259</v>
      </c>
      <c r="D28" s="80" t="s">
        <v>315</v>
      </c>
      <c r="E28" s="83" t="s">
        <v>259</v>
      </c>
      <c r="F28" s="6" t="s">
        <v>316</v>
      </c>
      <c r="G28" s="7" t="s">
        <v>218</v>
      </c>
      <c r="H28" s="8" t="s">
        <v>317</v>
      </c>
    </row>
    <row r="29" spans="1:9" ht="38" customHeight="1">
      <c r="A29" s="34"/>
      <c r="B29" s="3" t="s">
        <v>318</v>
      </c>
      <c r="C29" s="5" t="s">
        <v>293</v>
      </c>
      <c r="D29" s="80" t="s">
        <v>319</v>
      </c>
      <c r="E29" s="83" t="s">
        <v>293</v>
      </c>
      <c r="F29" s="6" t="s">
        <v>320</v>
      </c>
      <c r="G29" s="7" t="s">
        <v>218</v>
      </c>
      <c r="H29" s="8" t="s">
        <v>321</v>
      </c>
    </row>
    <row r="30" spans="1:9" ht="38" customHeight="1">
      <c r="A30" s="35"/>
      <c r="B30" s="3" t="s">
        <v>322</v>
      </c>
      <c r="C30" s="5" t="s">
        <v>323</v>
      </c>
      <c r="D30" s="80" t="s">
        <v>324</v>
      </c>
      <c r="E30" s="83" t="s">
        <v>323</v>
      </c>
      <c r="F30" s="6" t="s">
        <v>325</v>
      </c>
      <c r="G30" s="7" t="s">
        <v>218</v>
      </c>
      <c r="H30" s="8" t="s">
        <v>326</v>
      </c>
    </row>
    <row r="31" spans="1:9" ht="38" customHeight="1">
      <c r="A31" s="42" t="s">
        <v>327</v>
      </c>
      <c r="B31" s="3" t="s">
        <v>328</v>
      </c>
      <c r="C31" s="5" t="s">
        <v>259</v>
      </c>
      <c r="D31" s="80" t="s">
        <v>329</v>
      </c>
      <c r="E31" s="83" t="s">
        <v>259</v>
      </c>
      <c r="F31" s="6" t="s">
        <v>330</v>
      </c>
      <c r="G31" s="7" t="s">
        <v>218</v>
      </c>
      <c r="H31" s="8" t="s">
        <v>331</v>
      </c>
    </row>
    <row r="32" spans="1:9" ht="38" customHeight="1">
      <c r="A32" s="35"/>
      <c r="B32" s="3" t="s">
        <v>332</v>
      </c>
      <c r="C32" s="5" t="s">
        <v>259</v>
      </c>
      <c r="D32" s="80" t="s">
        <v>333</v>
      </c>
      <c r="E32" s="83" t="s">
        <v>259</v>
      </c>
      <c r="F32" s="6" t="s">
        <v>334</v>
      </c>
      <c r="G32" s="7" t="s">
        <v>218</v>
      </c>
      <c r="H32" s="8" t="s">
        <v>335</v>
      </c>
    </row>
    <row r="33" spans="1:8" ht="38" customHeight="1">
      <c r="A33" s="42" t="s">
        <v>336</v>
      </c>
      <c r="B33" s="3" t="s">
        <v>337</v>
      </c>
      <c r="C33" s="5" t="s">
        <v>246</v>
      </c>
      <c r="D33" s="80" t="s">
        <v>338</v>
      </c>
      <c r="E33" s="83" t="s">
        <v>239</v>
      </c>
      <c r="F33" s="6" t="s">
        <v>339</v>
      </c>
      <c r="G33" s="7" t="s">
        <v>218</v>
      </c>
      <c r="H33" s="8" t="s">
        <v>340</v>
      </c>
    </row>
    <row r="34" spans="1:8" ht="38" customHeight="1">
      <c r="A34" s="34"/>
      <c r="B34" s="3" t="s">
        <v>341</v>
      </c>
      <c r="C34" s="5" t="s">
        <v>246</v>
      </c>
      <c r="D34" s="80" t="s">
        <v>342</v>
      </c>
      <c r="E34" s="83" t="s">
        <v>246</v>
      </c>
      <c r="F34" s="6" t="s">
        <v>343</v>
      </c>
      <c r="G34" s="7" t="s">
        <v>218</v>
      </c>
      <c r="H34" s="8" t="s">
        <v>344</v>
      </c>
    </row>
    <row r="35" spans="1:8" ht="38" customHeight="1">
      <c r="A35" s="34"/>
      <c r="B35" s="3" t="s">
        <v>345</v>
      </c>
      <c r="C35" s="5" t="s">
        <v>215</v>
      </c>
      <c r="D35" s="80" t="s">
        <v>346</v>
      </c>
      <c r="E35" s="83" t="s">
        <v>215</v>
      </c>
      <c r="F35" s="6" t="s">
        <v>347</v>
      </c>
      <c r="G35" s="7" t="s">
        <v>218</v>
      </c>
      <c r="H35" s="8" t="s">
        <v>348</v>
      </c>
    </row>
    <row r="36" spans="1:8" ht="38" customHeight="1">
      <c r="A36" s="34"/>
      <c r="B36" s="3" t="s">
        <v>349</v>
      </c>
      <c r="C36" s="5" t="s">
        <v>259</v>
      </c>
      <c r="D36" s="80" t="s">
        <v>350</v>
      </c>
      <c r="E36" s="83" t="s">
        <v>255</v>
      </c>
      <c r="F36" s="6" t="s">
        <v>351</v>
      </c>
      <c r="G36" s="7" t="s">
        <v>218</v>
      </c>
      <c r="H36" s="8" t="s">
        <v>352</v>
      </c>
    </row>
    <row r="37" spans="1:8" ht="38" customHeight="1">
      <c r="A37" s="34"/>
      <c r="B37" s="3" t="s">
        <v>353</v>
      </c>
      <c r="C37" s="5" t="s">
        <v>259</v>
      </c>
      <c r="D37" s="80" t="s">
        <v>354</v>
      </c>
      <c r="E37" s="83" t="s">
        <v>253</v>
      </c>
      <c r="F37" s="6" t="s">
        <v>355</v>
      </c>
      <c r="G37" s="7" t="s">
        <v>218</v>
      </c>
      <c r="H37" s="8" t="s">
        <v>356</v>
      </c>
    </row>
    <row r="38" spans="1:8" ht="38" customHeight="1">
      <c r="A38" s="35"/>
      <c r="B38" s="3" t="s">
        <v>123</v>
      </c>
      <c r="C38" s="5" t="s">
        <v>279</v>
      </c>
      <c r="D38" s="80" t="s">
        <v>250</v>
      </c>
      <c r="E38" s="83" t="s">
        <v>253</v>
      </c>
      <c r="F38" s="6" t="s">
        <v>357</v>
      </c>
      <c r="G38" s="7" t="s">
        <v>218</v>
      </c>
      <c r="H38" s="8" t="s">
        <v>125</v>
      </c>
    </row>
    <row r="39" spans="1:8" ht="38" customHeight="1">
      <c r="A39" s="42" t="s">
        <v>358</v>
      </c>
      <c r="B39" s="3" t="s">
        <v>359</v>
      </c>
      <c r="C39" s="5" t="s">
        <v>360</v>
      </c>
      <c r="D39" s="80" t="s">
        <v>361</v>
      </c>
      <c r="E39" s="83" t="s">
        <v>279</v>
      </c>
      <c r="F39" s="6" t="s">
        <v>362</v>
      </c>
      <c r="G39" s="7" t="s">
        <v>363</v>
      </c>
      <c r="H39" s="8" t="s">
        <v>364</v>
      </c>
    </row>
    <row r="40" spans="1:8" ht="38" customHeight="1">
      <c r="A40" s="34"/>
      <c r="B40" s="3" t="s">
        <v>365</v>
      </c>
      <c r="C40" s="5" t="s">
        <v>360</v>
      </c>
      <c r="D40" s="80" t="s">
        <v>366</v>
      </c>
      <c r="E40" s="83" t="s">
        <v>279</v>
      </c>
      <c r="F40" s="6" t="s">
        <v>367</v>
      </c>
      <c r="G40" s="7" t="s">
        <v>363</v>
      </c>
      <c r="H40" s="8" t="s">
        <v>368</v>
      </c>
    </row>
    <row r="41" spans="1:8" ht="38" customHeight="1">
      <c r="A41" s="35"/>
      <c r="B41" s="3" t="s">
        <v>369</v>
      </c>
      <c r="C41" s="5" t="s">
        <v>279</v>
      </c>
      <c r="D41" s="80" t="s">
        <v>370</v>
      </c>
      <c r="E41" s="83" t="s">
        <v>259</v>
      </c>
      <c r="F41" s="6" t="s">
        <v>260</v>
      </c>
      <c r="G41" s="7" t="s">
        <v>363</v>
      </c>
      <c r="H41" s="8" t="s">
        <v>371</v>
      </c>
    </row>
    <row r="42" spans="1:8" ht="38" customHeight="1">
      <c r="A42" s="42" t="s">
        <v>372</v>
      </c>
      <c r="B42" s="3" t="s">
        <v>373</v>
      </c>
      <c r="C42" s="5" t="s">
        <v>259</v>
      </c>
      <c r="D42" s="80" t="s">
        <v>374</v>
      </c>
      <c r="E42" s="83" t="s">
        <v>259</v>
      </c>
      <c r="F42" s="6" t="s">
        <v>375</v>
      </c>
      <c r="G42" s="7" t="s">
        <v>218</v>
      </c>
      <c r="H42" s="8" t="s">
        <v>376</v>
      </c>
    </row>
    <row r="43" spans="1:8" ht="38" customHeight="1">
      <c r="A43" s="34"/>
      <c r="B43" s="3" t="s">
        <v>377</v>
      </c>
      <c r="C43" s="5" t="s">
        <v>259</v>
      </c>
      <c r="D43" s="80" t="s">
        <v>378</v>
      </c>
      <c r="E43" s="83" t="s">
        <v>259</v>
      </c>
      <c r="F43" s="6" t="s">
        <v>379</v>
      </c>
      <c r="G43" s="7" t="s">
        <v>218</v>
      </c>
      <c r="H43" s="8" t="s">
        <v>380</v>
      </c>
    </row>
    <row r="44" spans="1:8" ht="38" customHeight="1">
      <c r="A44" s="34"/>
      <c r="B44" s="3" t="s">
        <v>381</v>
      </c>
      <c r="C44" s="5" t="s">
        <v>259</v>
      </c>
      <c r="D44" s="80" t="s">
        <v>382</v>
      </c>
      <c r="E44" s="83" t="s">
        <v>259</v>
      </c>
      <c r="F44" s="6" t="s">
        <v>383</v>
      </c>
      <c r="G44" s="7" t="s">
        <v>218</v>
      </c>
      <c r="H44" s="8" t="s">
        <v>384</v>
      </c>
    </row>
    <row r="45" spans="1:8" ht="38" customHeight="1">
      <c r="A45" s="35"/>
      <c r="B45" s="3" t="s">
        <v>385</v>
      </c>
      <c r="C45" s="5" t="s">
        <v>259</v>
      </c>
      <c r="D45" s="80" t="s">
        <v>386</v>
      </c>
      <c r="E45" s="83" t="s">
        <v>259</v>
      </c>
      <c r="F45" s="6" t="s">
        <v>387</v>
      </c>
      <c r="G45" s="7" t="s">
        <v>218</v>
      </c>
      <c r="H45" s="8" t="s">
        <v>388</v>
      </c>
    </row>
    <row r="46" spans="1:8" ht="30" customHeight="1">
      <c r="A46" s="11" t="s">
        <v>8</v>
      </c>
      <c r="B46" s="11" t="s">
        <v>389</v>
      </c>
      <c r="C46" s="11"/>
      <c r="D46" s="11" t="s">
        <v>13</v>
      </c>
      <c r="E46" s="11"/>
      <c r="F46" s="11" t="s">
        <v>12</v>
      </c>
      <c r="G46" s="11"/>
      <c r="H46" s="11" t="s">
        <v>390</v>
      </c>
    </row>
  </sheetData>
  <mergeCells count="11">
    <mergeCell ref="A42:A45"/>
    <mergeCell ref="A7:A8"/>
    <mergeCell ref="A31:A32"/>
    <mergeCell ref="A1:H1"/>
    <mergeCell ref="A33:A38"/>
    <mergeCell ref="A5:A6"/>
    <mergeCell ref="A39:A41"/>
    <mergeCell ref="A9:A14"/>
    <mergeCell ref="A15:A19"/>
    <mergeCell ref="A2:H2"/>
    <mergeCell ref="A20:A30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pane xSplit="3" ySplit="6" topLeftCell="D7" activePane="bottomRight" state="frozen"/>
      <selection pane="topRight"/>
      <selection pane="bottomLeft"/>
      <selection pane="bottomRight" activeCell="D41" sqref="D41"/>
    </sheetView>
  </sheetViews>
  <sheetFormatPr baseColWidth="10" defaultColWidth="8.83203125" defaultRowHeight="17"/>
  <cols>
    <col min="1" max="1" width="8.6640625" customWidth="1"/>
    <col min="2" max="2" width="14" customWidth="1"/>
    <col min="3" max="3" width="22" customWidth="1"/>
    <col min="4" max="9" width="14" customWidth="1"/>
    <col min="10" max="10" width="50" customWidth="1"/>
  </cols>
  <sheetData>
    <row r="1" spans="1:10" ht="38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>
      <c r="A2" s="37" t="s">
        <v>1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25" customHeight="1">
      <c r="A4" s="16"/>
      <c r="B4" s="16"/>
      <c r="C4" s="16" t="s">
        <v>2</v>
      </c>
      <c r="D4" s="38" t="s">
        <v>3</v>
      </c>
      <c r="E4" s="32"/>
      <c r="F4" s="32"/>
      <c r="G4" s="32"/>
      <c r="H4" s="36" t="s">
        <v>4</v>
      </c>
      <c r="I4" s="32"/>
      <c r="J4" s="16" t="s">
        <v>5</v>
      </c>
    </row>
    <row r="5" spans="1:10" ht="35" customHeight="1">
      <c r="A5" s="17"/>
      <c r="B5" s="17"/>
      <c r="C5" s="17"/>
      <c r="D5" s="18" t="s">
        <v>6</v>
      </c>
      <c r="E5" s="19" t="s">
        <v>7</v>
      </c>
      <c r="F5" s="17" t="s">
        <v>8</v>
      </c>
      <c r="G5" s="17" t="s">
        <v>9</v>
      </c>
      <c r="H5" s="19" t="s">
        <v>7</v>
      </c>
      <c r="I5" s="17" t="s">
        <v>9</v>
      </c>
      <c r="J5" s="17"/>
    </row>
    <row r="6" spans="1:10" ht="28" customHeight="1">
      <c r="A6" s="20"/>
      <c r="B6" s="20"/>
      <c r="C6" s="11" t="s">
        <v>10</v>
      </c>
      <c r="D6" s="21" t="s">
        <v>11</v>
      </c>
      <c r="E6" s="21" t="s">
        <v>12</v>
      </c>
      <c r="F6" s="21">
        <f>D6+E6</f>
        <v>244778</v>
      </c>
      <c r="G6" s="11"/>
      <c r="H6" s="21" t="s">
        <v>13</v>
      </c>
      <c r="I6" s="11"/>
      <c r="J6" s="22" t="s">
        <v>14</v>
      </c>
    </row>
    <row r="7" spans="1:10" ht="32" customHeight="1">
      <c r="A7" s="33" t="s">
        <v>15</v>
      </c>
      <c r="B7" s="5"/>
      <c r="C7" s="2" t="s">
        <v>16</v>
      </c>
      <c r="D7" s="23" t="s">
        <v>17</v>
      </c>
      <c r="E7" s="23" t="s">
        <v>17</v>
      </c>
      <c r="F7" s="23" t="s">
        <v>17</v>
      </c>
      <c r="G7" s="5"/>
      <c r="H7" s="23" t="s">
        <v>17</v>
      </c>
      <c r="I7" s="5"/>
      <c r="J7" s="8" t="s">
        <v>18</v>
      </c>
    </row>
    <row r="8" spans="1:10" ht="32" customHeight="1">
      <c r="A8" s="34"/>
      <c r="B8" s="5"/>
      <c r="C8" s="2" t="s">
        <v>19</v>
      </c>
      <c r="D8" s="24" t="s">
        <v>20</v>
      </c>
      <c r="E8" s="23" t="s">
        <v>17</v>
      </c>
      <c r="F8" s="25" t="s">
        <v>20</v>
      </c>
      <c r="G8" s="26" t="s">
        <v>21</v>
      </c>
      <c r="H8" s="23" t="s">
        <v>17</v>
      </c>
      <c r="I8" s="5"/>
      <c r="J8" s="8" t="s">
        <v>22</v>
      </c>
    </row>
    <row r="9" spans="1:10" ht="32" customHeight="1">
      <c r="A9" s="34"/>
      <c r="B9" s="85"/>
      <c r="C9" s="86" t="s">
        <v>23</v>
      </c>
      <c r="D9" s="87" t="s">
        <v>20</v>
      </c>
      <c r="E9" s="88" t="s">
        <v>24</v>
      </c>
      <c r="F9" s="89" t="s">
        <v>25</v>
      </c>
      <c r="G9" s="90" t="s">
        <v>21</v>
      </c>
      <c r="H9" s="91" t="s">
        <v>17</v>
      </c>
      <c r="I9" s="85"/>
      <c r="J9" s="92" t="s">
        <v>26</v>
      </c>
    </row>
    <row r="10" spans="1:10" ht="32" customHeight="1">
      <c r="A10" s="93" t="s">
        <v>450</v>
      </c>
      <c r="B10" s="94"/>
      <c r="C10" s="95" t="s">
        <v>27</v>
      </c>
      <c r="D10" s="96" t="s">
        <v>17</v>
      </c>
      <c r="E10" s="96" t="s">
        <v>17</v>
      </c>
      <c r="F10" s="96" t="s">
        <v>17</v>
      </c>
      <c r="G10" s="97" t="s">
        <v>28</v>
      </c>
      <c r="H10" s="96" t="s">
        <v>17</v>
      </c>
      <c r="I10" s="97" t="s">
        <v>28</v>
      </c>
      <c r="J10" s="98" t="s">
        <v>29</v>
      </c>
    </row>
    <row r="11" spans="1:10" ht="32" customHeight="1">
      <c r="A11" s="107"/>
      <c r="B11" s="108"/>
      <c r="C11" s="109" t="s">
        <v>30</v>
      </c>
      <c r="D11" s="110" t="s">
        <v>31</v>
      </c>
      <c r="E11" s="111" t="s">
        <v>24</v>
      </c>
      <c r="F11" s="112" t="s">
        <v>32</v>
      </c>
      <c r="G11" s="113" t="s">
        <v>21</v>
      </c>
      <c r="H11" s="111" t="s">
        <v>24</v>
      </c>
      <c r="I11" s="113" t="s">
        <v>21</v>
      </c>
      <c r="J11" s="114" t="s">
        <v>33</v>
      </c>
    </row>
    <row r="12" spans="1:10" ht="32" customHeight="1">
      <c r="A12" s="99" t="s">
        <v>34</v>
      </c>
      <c r="B12" s="100"/>
      <c r="C12" s="101" t="s">
        <v>35</v>
      </c>
      <c r="D12" s="102" t="s">
        <v>36</v>
      </c>
      <c r="E12" s="103" t="s">
        <v>37</v>
      </c>
      <c r="F12" s="104" t="s">
        <v>38</v>
      </c>
      <c r="G12" s="105" t="s">
        <v>21</v>
      </c>
      <c r="H12" s="103" t="s">
        <v>31</v>
      </c>
      <c r="I12" s="105" t="s">
        <v>21</v>
      </c>
      <c r="J12" s="106" t="s">
        <v>39</v>
      </c>
    </row>
    <row r="13" spans="1:10" ht="32" customHeight="1">
      <c r="A13" s="34"/>
      <c r="B13" s="5"/>
      <c r="C13" s="2" t="s">
        <v>40</v>
      </c>
      <c r="D13" s="23" t="s">
        <v>17</v>
      </c>
      <c r="E13" s="27" t="s">
        <v>41</v>
      </c>
      <c r="F13" s="25" t="s">
        <v>41</v>
      </c>
      <c r="G13" s="26" t="s">
        <v>21</v>
      </c>
      <c r="H13" s="27" t="s">
        <v>37</v>
      </c>
      <c r="I13" s="26" t="s">
        <v>21</v>
      </c>
      <c r="J13" s="8" t="s">
        <v>42</v>
      </c>
    </row>
    <row r="14" spans="1:10" ht="32" customHeight="1">
      <c r="A14" s="34"/>
      <c r="B14" s="5"/>
      <c r="C14" s="2" t="s">
        <v>43</v>
      </c>
      <c r="D14" s="23" t="s">
        <v>17</v>
      </c>
      <c r="E14" s="23" t="s">
        <v>17</v>
      </c>
      <c r="F14" s="23" t="s">
        <v>17</v>
      </c>
      <c r="G14" s="5"/>
      <c r="H14" s="23" t="s">
        <v>17</v>
      </c>
      <c r="I14" s="5"/>
      <c r="J14" s="8" t="s">
        <v>44</v>
      </c>
    </row>
    <row r="15" spans="1:10" ht="32" customHeight="1">
      <c r="A15" s="34"/>
      <c r="B15" s="5"/>
      <c r="C15" s="2" t="s">
        <v>45</v>
      </c>
      <c r="D15" s="23" t="s">
        <v>17</v>
      </c>
      <c r="E15" s="23" t="s">
        <v>17</v>
      </c>
      <c r="F15" s="23" t="s">
        <v>17</v>
      </c>
      <c r="G15" s="28" t="s">
        <v>28</v>
      </c>
      <c r="H15" s="23" t="s">
        <v>17</v>
      </c>
      <c r="I15" s="28" t="s">
        <v>28</v>
      </c>
      <c r="J15" s="8" t="s">
        <v>46</v>
      </c>
    </row>
    <row r="16" spans="1:10" ht="32" customHeight="1">
      <c r="A16" s="34"/>
      <c r="B16" s="5"/>
      <c r="C16" s="2" t="s">
        <v>47</v>
      </c>
      <c r="D16" s="23" t="s">
        <v>17</v>
      </c>
      <c r="E16" s="27" t="s">
        <v>24</v>
      </c>
      <c r="F16" s="25" t="s">
        <v>24</v>
      </c>
      <c r="G16" s="26" t="s">
        <v>21</v>
      </c>
      <c r="H16" s="27" t="s">
        <v>24</v>
      </c>
      <c r="I16" s="26" t="s">
        <v>21</v>
      </c>
      <c r="J16" s="8" t="s">
        <v>48</v>
      </c>
    </row>
    <row r="17" spans="1:10" ht="32" customHeight="1">
      <c r="A17" s="34"/>
      <c r="B17" s="5"/>
      <c r="C17" s="2" t="s">
        <v>49</v>
      </c>
      <c r="D17" s="23" t="s">
        <v>17</v>
      </c>
      <c r="E17" s="27" t="s">
        <v>31</v>
      </c>
      <c r="F17" s="25" t="s">
        <v>31</v>
      </c>
      <c r="G17" s="26" t="s">
        <v>21</v>
      </c>
      <c r="H17" s="27" t="s">
        <v>31</v>
      </c>
      <c r="I17" s="26" t="s">
        <v>21</v>
      </c>
      <c r="J17" s="8" t="s">
        <v>50</v>
      </c>
    </row>
    <row r="18" spans="1:10" ht="32" customHeight="1">
      <c r="A18" s="34"/>
      <c r="B18" s="5"/>
      <c r="C18" s="2" t="s">
        <v>51</v>
      </c>
      <c r="D18" s="23" t="s">
        <v>17</v>
      </c>
      <c r="E18" s="27" t="s">
        <v>31</v>
      </c>
      <c r="F18" s="25" t="s">
        <v>31</v>
      </c>
      <c r="G18" s="26" t="s">
        <v>21</v>
      </c>
      <c r="H18" s="27" t="s">
        <v>31</v>
      </c>
      <c r="I18" s="26" t="s">
        <v>21</v>
      </c>
      <c r="J18" s="8" t="s">
        <v>52</v>
      </c>
    </row>
    <row r="19" spans="1:10" ht="32" customHeight="1">
      <c r="A19" s="34"/>
      <c r="B19" s="5"/>
      <c r="C19" s="2" t="s">
        <v>53</v>
      </c>
      <c r="D19" s="23" t="s">
        <v>17</v>
      </c>
      <c r="E19" s="27" t="s">
        <v>37</v>
      </c>
      <c r="F19" s="25" t="s">
        <v>37</v>
      </c>
      <c r="G19" s="26" t="s">
        <v>21</v>
      </c>
      <c r="H19" s="27" t="s">
        <v>37</v>
      </c>
      <c r="I19" s="26" t="s">
        <v>21</v>
      </c>
      <c r="J19" s="8" t="s">
        <v>54</v>
      </c>
    </row>
    <row r="20" spans="1:10" ht="32" customHeight="1">
      <c r="A20" s="34"/>
      <c r="B20" s="85"/>
      <c r="C20" s="86" t="s">
        <v>55</v>
      </c>
      <c r="D20" s="91" t="s">
        <v>17</v>
      </c>
      <c r="E20" s="88" t="s">
        <v>56</v>
      </c>
      <c r="F20" s="89" t="s">
        <v>56</v>
      </c>
      <c r="G20" s="90" t="s">
        <v>21</v>
      </c>
      <c r="H20" s="88" t="s">
        <v>56</v>
      </c>
      <c r="I20" s="90" t="s">
        <v>21</v>
      </c>
      <c r="J20" s="92" t="s">
        <v>57</v>
      </c>
    </row>
    <row r="21" spans="1:10" ht="32" customHeight="1">
      <c r="A21" s="117" t="s">
        <v>58</v>
      </c>
      <c r="B21" s="94"/>
      <c r="C21" s="95" t="s">
        <v>59</v>
      </c>
      <c r="D21" s="96" t="s">
        <v>17</v>
      </c>
      <c r="E21" s="118" t="s">
        <v>37</v>
      </c>
      <c r="F21" s="119" t="s">
        <v>37</v>
      </c>
      <c r="G21" s="120" t="s">
        <v>21</v>
      </c>
      <c r="H21" s="118" t="s">
        <v>37</v>
      </c>
      <c r="I21" s="120" t="s">
        <v>21</v>
      </c>
      <c r="J21" s="98" t="s">
        <v>60</v>
      </c>
    </row>
    <row r="22" spans="1:10" ht="32" customHeight="1">
      <c r="A22" s="34"/>
      <c r="B22" s="5"/>
      <c r="C22" s="2" t="s">
        <v>61</v>
      </c>
      <c r="D22" s="23" t="s">
        <v>17</v>
      </c>
      <c r="E22" s="23" t="s">
        <v>17</v>
      </c>
      <c r="F22" s="23" t="s">
        <v>17</v>
      </c>
      <c r="G22" s="5"/>
      <c r="H22" s="23" t="s">
        <v>17</v>
      </c>
      <c r="I22" s="5"/>
      <c r="J22" s="8" t="s">
        <v>62</v>
      </c>
    </row>
    <row r="23" spans="1:10" ht="32" customHeight="1">
      <c r="A23" s="34"/>
      <c r="B23" s="5"/>
      <c r="C23" s="2" t="s">
        <v>63</v>
      </c>
      <c r="D23" s="24" t="s">
        <v>64</v>
      </c>
      <c r="E23" s="23" t="s">
        <v>17</v>
      </c>
      <c r="F23" s="25" t="s">
        <v>64</v>
      </c>
      <c r="G23" s="26" t="s">
        <v>21</v>
      </c>
      <c r="H23" s="23" t="s">
        <v>17</v>
      </c>
      <c r="I23" s="5"/>
      <c r="J23" s="8" t="s">
        <v>65</v>
      </c>
    </row>
    <row r="24" spans="1:10" ht="32" customHeight="1">
      <c r="A24" s="34"/>
      <c r="B24" s="5"/>
      <c r="C24" s="2" t="s">
        <v>66</v>
      </c>
      <c r="D24" s="23" t="s">
        <v>17</v>
      </c>
      <c r="E24" s="27" t="s">
        <v>37</v>
      </c>
      <c r="F24" s="25" t="s">
        <v>37</v>
      </c>
      <c r="G24" s="26" t="s">
        <v>21</v>
      </c>
      <c r="H24" s="27" t="s">
        <v>37</v>
      </c>
      <c r="I24" s="26" t="s">
        <v>21</v>
      </c>
      <c r="J24" s="8" t="s">
        <v>67</v>
      </c>
    </row>
    <row r="25" spans="1:10" ht="32" customHeight="1">
      <c r="A25" s="34"/>
      <c r="B25" s="5"/>
      <c r="C25" s="2" t="s">
        <v>68</v>
      </c>
      <c r="D25" s="24" t="s">
        <v>64</v>
      </c>
      <c r="E25" s="23" t="s">
        <v>17</v>
      </c>
      <c r="F25" s="25" t="s">
        <v>64</v>
      </c>
      <c r="G25" s="26" t="s">
        <v>21</v>
      </c>
      <c r="H25" s="23" t="s">
        <v>17</v>
      </c>
      <c r="I25" s="5"/>
      <c r="J25" s="8" t="s">
        <v>69</v>
      </c>
    </row>
    <row r="26" spans="1:10" ht="32" customHeight="1">
      <c r="A26" s="34"/>
      <c r="B26" s="5"/>
      <c r="C26" s="2" t="s">
        <v>70</v>
      </c>
      <c r="D26" s="23" t="s">
        <v>17</v>
      </c>
      <c r="E26" s="23" t="s">
        <v>17</v>
      </c>
      <c r="F26" s="23" t="s">
        <v>17</v>
      </c>
      <c r="G26" s="5"/>
      <c r="H26" s="23" t="s">
        <v>17</v>
      </c>
      <c r="I26" s="5"/>
      <c r="J26" s="8" t="s">
        <v>71</v>
      </c>
    </row>
    <row r="27" spans="1:10" ht="32" customHeight="1">
      <c r="A27" s="107"/>
      <c r="B27" s="108"/>
      <c r="C27" s="109" t="s">
        <v>72</v>
      </c>
      <c r="D27" s="116" t="s">
        <v>17</v>
      </c>
      <c r="E27" s="116" t="s">
        <v>17</v>
      </c>
      <c r="F27" s="116" t="s">
        <v>17</v>
      </c>
      <c r="G27" s="108"/>
      <c r="H27" s="116" t="s">
        <v>17</v>
      </c>
      <c r="I27" s="108"/>
      <c r="J27" s="114" t="s">
        <v>73</v>
      </c>
    </row>
    <row r="28" spans="1:10" ht="32" customHeight="1">
      <c r="A28" s="99" t="s">
        <v>74</v>
      </c>
      <c r="B28" s="100"/>
      <c r="C28" s="101" t="s">
        <v>75</v>
      </c>
      <c r="D28" s="115" t="s">
        <v>17</v>
      </c>
      <c r="E28" s="103" t="s">
        <v>37</v>
      </c>
      <c r="F28" s="104" t="s">
        <v>37</v>
      </c>
      <c r="G28" s="105" t="s">
        <v>21</v>
      </c>
      <c r="H28" s="103" t="s">
        <v>37</v>
      </c>
      <c r="I28" s="105" t="s">
        <v>21</v>
      </c>
      <c r="J28" s="106" t="s">
        <v>76</v>
      </c>
    </row>
    <row r="29" spans="1:10" ht="32" customHeight="1">
      <c r="A29" s="34"/>
      <c r="B29" s="5"/>
      <c r="C29" s="2" t="s">
        <v>77</v>
      </c>
      <c r="D29" s="23" t="s">
        <v>17</v>
      </c>
      <c r="E29" s="27" t="s">
        <v>37</v>
      </c>
      <c r="F29" s="25" t="s">
        <v>37</v>
      </c>
      <c r="G29" s="26" t="s">
        <v>21</v>
      </c>
      <c r="H29" s="27" t="s">
        <v>37</v>
      </c>
      <c r="I29" s="26" t="s">
        <v>21</v>
      </c>
      <c r="J29" s="8" t="s">
        <v>78</v>
      </c>
    </row>
    <row r="30" spans="1:10" ht="32" customHeight="1">
      <c r="A30" s="34"/>
      <c r="B30" s="5"/>
      <c r="C30" s="2" t="s">
        <v>79</v>
      </c>
      <c r="D30" s="23" t="s">
        <v>17</v>
      </c>
      <c r="E30" s="27" t="s">
        <v>37</v>
      </c>
      <c r="F30" s="25" t="s">
        <v>37</v>
      </c>
      <c r="G30" s="26" t="s">
        <v>21</v>
      </c>
      <c r="H30" s="27" t="s">
        <v>37</v>
      </c>
      <c r="I30" s="26" t="s">
        <v>21</v>
      </c>
      <c r="J30" s="8" t="s">
        <v>80</v>
      </c>
    </row>
    <row r="31" spans="1:10" ht="32" customHeight="1">
      <c r="A31" s="34"/>
      <c r="B31" s="5"/>
      <c r="C31" s="2" t="s">
        <v>81</v>
      </c>
      <c r="D31" s="23" t="s">
        <v>17</v>
      </c>
      <c r="E31" s="27" t="s">
        <v>37</v>
      </c>
      <c r="F31" s="25" t="s">
        <v>37</v>
      </c>
      <c r="G31" s="26" t="s">
        <v>21</v>
      </c>
      <c r="H31" s="27" t="s">
        <v>37</v>
      </c>
      <c r="I31" s="26" t="s">
        <v>21</v>
      </c>
      <c r="J31" s="8" t="s">
        <v>82</v>
      </c>
    </row>
    <row r="32" spans="1:10" ht="32" customHeight="1">
      <c r="A32" s="34"/>
      <c r="B32" s="85"/>
      <c r="C32" s="86" t="s">
        <v>83</v>
      </c>
      <c r="D32" s="91" t="s">
        <v>17</v>
      </c>
      <c r="E32" s="91" t="s">
        <v>17</v>
      </c>
      <c r="F32" s="91" t="s">
        <v>17</v>
      </c>
      <c r="G32" s="121" t="s">
        <v>28</v>
      </c>
      <c r="H32" s="91" t="s">
        <v>17</v>
      </c>
      <c r="I32" s="121" t="s">
        <v>28</v>
      </c>
      <c r="J32" s="92" t="s">
        <v>84</v>
      </c>
    </row>
    <row r="33" spans="1:10" ht="32" customHeight="1">
      <c r="A33" s="117" t="s">
        <v>85</v>
      </c>
      <c r="B33" s="94"/>
      <c r="C33" s="95" t="s">
        <v>86</v>
      </c>
      <c r="D33" s="122" t="s">
        <v>87</v>
      </c>
      <c r="E33" s="123" t="s">
        <v>88</v>
      </c>
      <c r="F33" s="94" t="s">
        <v>89</v>
      </c>
      <c r="G33" s="94"/>
      <c r="H33" s="123" t="s">
        <v>90</v>
      </c>
      <c r="I33" s="94"/>
      <c r="J33" s="98" t="s">
        <v>91</v>
      </c>
    </row>
    <row r="34" spans="1:10" ht="32" customHeight="1">
      <c r="A34" s="34"/>
      <c r="B34" s="5"/>
      <c r="C34" s="2" t="s">
        <v>92</v>
      </c>
      <c r="D34" s="23" t="s">
        <v>17</v>
      </c>
      <c r="E34" s="23" t="s">
        <v>17</v>
      </c>
      <c r="F34" s="23" t="s">
        <v>17</v>
      </c>
      <c r="G34" s="5"/>
      <c r="H34" s="23" t="s">
        <v>17</v>
      </c>
      <c r="I34" s="5"/>
      <c r="J34" s="8" t="s">
        <v>93</v>
      </c>
    </row>
    <row r="35" spans="1:10" ht="32" customHeight="1">
      <c r="A35" s="34"/>
      <c r="B35" s="5"/>
      <c r="C35" s="2" t="s">
        <v>94</v>
      </c>
      <c r="D35" s="24" t="s">
        <v>87</v>
      </c>
      <c r="E35" s="29" t="s">
        <v>88</v>
      </c>
      <c r="F35" s="5" t="s">
        <v>89</v>
      </c>
      <c r="G35" s="5"/>
      <c r="H35" s="29" t="s">
        <v>95</v>
      </c>
      <c r="I35" s="5"/>
      <c r="J35" s="8" t="s">
        <v>96</v>
      </c>
    </row>
    <row r="36" spans="1:10" ht="32" customHeight="1">
      <c r="A36" s="34"/>
      <c r="B36" s="5"/>
      <c r="C36" s="2" t="s">
        <v>97</v>
      </c>
      <c r="D36" s="23" t="s">
        <v>17</v>
      </c>
      <c r="E36" s="23" t="s">
        <v>17</v>
      </c>
      <c r="F36" s="23" t="s">
        <v>17</v>
      </c>
      <c r="G36" s="5"/>
      <c r="H36" s="23" t="s">
        <v>17</v>
      </c>
      <c r="I36" s="5"/>
      <c r="J36" s="8" t="s">
        <v>98</v>
      </c>
    </row>
    <row r="37" spans="1:10" ht="32" customHeight="1">
      <c r="A37" s="34"/>
      <c r="B37" s="5"/>
      <c r="C37" s="2" t="s">
        <v>99</v>
      </c>
      <c r="D37" s="24" t="s">
        <v>100</v>
      </c>
      <c r="E37" s="23" t="s">
        <v>17</v>
      </c>
      <c r="F37" s="25" t="s">
        <v>100</v>
      </c>
      <c r="G37" s="26" t="s">
        <v>21</v>
      </c>
      <c r="H37" s="29" t="s">
        <v>101</v>
      </c>
      <c r="I37" s="5"/>
      <c r="J37" s="8" t="s">
        <v>102</v>
      </c>
    </row>
    <row r="38" spans="1:10" ht="32" customHeight="1">
      <c r="A38" s="34"/>
      <c r="B38" s="5"/>
      <c r="C38" s="2" t="s">
        <v>103</v>
      </c>
      <c r="D38" s="23" t="s">
        <v>17</v>
      </c>
      <c r="E38" s="27" t="s">
        <v>100</v>
      </c>
      <c r="F38" s="25" t="s">
        <v>100</v>
      </c>
      <c r="G38" s="26" t="s">
        <v>21</v>
      </c>
      <c r="H38" s="27" t="s">
        <v>104</v>
      </c>
      <c r="I38" s="26" t="s">
        <v>21</v>
      </c>
      <c r="J38" s="8" t="s">
        <v>105</v>
      </c>
    </row>
    <row r="39" spans="1:10" ht="32" customHeight="1">
      <c r="A39" s="34"/>
      <c r="B39" s="5"/>
      <c r="C39" s="2" t="s">
        <v>106</v>
      </c>
      <c r="D39" s="23" t="s">
        <v>17</v>
      </c>
      <c r="E39" s="27" t="s">
        <v>64</v>
      </c>
      <c r="F39" s="25" t="s">
        <v>64</v>
      </c>
      <c r="G39" s="26" t="s">
        <v>21</v>
      </c>
      <c r="H39" s="27" t="s">
        <v>64</v>
      </c>
      <c r="I39" s="26" t="s">
        <v>21</v>
      </c>
      <c r="J39" s="8" t="s">
        <v>107</v>
      </c>
    </row>
    <row r="40" spans="1:10" ht="32" customHeight="1">
      <c r="A40" s="34"/>
      <c r="B40" s="5"/>
      <c r="C40" s="2" t="s">
        <v>108</v>
      </c>
      <c r="D40" s="24" t="s">
        <v>109</v>
      </c>
      <c r="E40" s="23" t="s">
        <v>17</v>
      </c>
      <c r="F40" s="25" t="s">
        <v>109</v>
      </c>
      <c r="G40" s="30" t="s">
        <v>110</v>
      </c>
      <c r="H40" s="23" t="s">
        <v>17</v>
      </c>
      <c r="I40" s="28" t="s">
        <v>28</v>
      </c>
      <c r="J40" s="8" t="s">
        <v>111</v>
      </c>
    </row>
    <row r="41" spans="1:10" ht="32" customHeight="1">
      <c r="A41" s="107"/>
      <c r="B41" s="108"/>
      <c r="C41" s="109" t="s">
        <v>112</v>
      </c>
      <c r="D41" s="110" t="s">
        <v>109</v>
      </c>
      <c r="E41" s="116" t="s">
        <v>17</v>
      </c>
      <c r="F41" s="112" t="s">
        <v>109</v>
      </c>
      <c r="G41" s="124" t="s">
        <v>110</v>
      </c>
      <c r="H41" s="116" t="s">
        <v>17</v>
      </c>
      <c r="I41" s="125" t="s">
        <v>28</v>
      </c>
      <c r="J41" s="114" t="s">
        <v>113</v>
      </c>
    </row>
    <row r="42" spans="1:10" ht="32" customHeight="1">
      <c r="A42" s="99" t="s">
        <v>114</v>
      </c>
      <c r="B42" s="100"/>
      <c r="C42" s="101" t="s">
        <v>115</v>
      </c>
      <c r="D42" s="115" t="s">
        <v>17</v>
      </c>
      <c r="E42" s="103" t="s">
        <v>64</v>
      </c>
      <c r="F42" s="104" t="s">
        <v>64</v>
      </c>
      <c r="G42" s="105" t="s">
        <v>21</v>
      </c>
      <c r="H42" s="103" t="s">
        <v>116</v>
      </c>
      <c r="I42" s="105" t="s">
        <v>21</v>
      </c>
      <c r="J42" s="106" t="s">
        <v>117</v>
      </c>
    </row>
    <row r="43" spans="1:10" ht="32" customHeight="1">
      <c r="A43" s="34"/>
      <c r="B43" s="5"/>
      <c r="C43" s="2" t="s">
        <v>118</v>
      </c>
      <c r="D43" s="23" t="s">
        <v>17</v>
      </c>
      <c r="E43" s="27" t="s">
        <v>64</v>
      </c>
      <c r="F43" s="25" t="s">
        <v>64</v>
      </c>
      <c r="G43" s="26" t="s">
        <v>21</v>
      </c>
      <c r="H43" s="27" t="s">
        <v>116</v>
      </c>
      <c r="I43" s="26" t="s">
        <v>21</v>
      </c>
      <c r="J43" s="8" t="s">
        <v>119</v>
      </c>
    </row>
    <row r="44" spans="1:10" ht="32" customHeight="1">
      <c r="A44" s="34"/>
      <c r="B44" s="85"/>
      <c r="C44" s="86" t="s">
        <v>120</v>
      </c>
      <c r="D44" s="91" t="s">
        <v>17</v>
      </c>
      <c r="E44" s="88" t="s">
        <v>37</v>
      </c>
      <c r="F44" s="89" t="s">
        <v>37</v>
      </c>
      <c r="G44" s="90" t="s">
        <v>21</v>
      </c>
      <c r="H44" s="88" t="s">
        <v>64</v>
      </c>
      <c r="I44" s="90" t="s">
        <v>21</v>
      </c>
      <c r="J44" s="92" t="s">
        <v>121</v>
      </c>
    </row>
    <row r="45" spans="1:10" ht="32" customHeight="1">
      <c r="A45" s="117" t="s">
        <v>122</v>
      </c>
      <c r="B45" s="94"/>
      <c r="C45" s="95" t="s">
        <v>123</v>
      </c>
      <c r="D45" s="96" t="s">
        <v>17</v>
      </c>
      <c r="E45" s="118" t="s">
        <v>124</v>
      </c>
      <c r="F45" s="119" t="s">
        <v>124</v>
      </c>
      <c r="G45" s="120" t="s">
        <v>21</v>
      </c>
      <c r="H45" s="118" t="s">
        <v>64</v>
      </c>
      <c r="I45" s="120" t="s">
        <v>21</v>
      </c>
      <c r="J45" s="98" t="s">
        <v>125</v>
      </c>
    </row>
    <row r="46" spans="1:10" ht="32" customHeight="1" thickBot="1">
      <c r="A46" s="34"/>
      <c r="B46" s="85"/>
      <c r="C46" s="86" t="s">
        <v>126</v>
      </c>
      <c r="D46" s="91" t="s">
        <v>17</v>
      </c>
      <c r="E46" s="126" t="s">
        <v>127</v>
      </c>
      <c r="F46" s="85" t="s">
        <v>89</v>
      </c>
      <c r="G46" s="85"/>
      <c r="H46" s="126" t="s">
        <v>128</v>
      </c>
      <c r="I46" s="85"/>
      <c r="J46" s="92" t="s">
        <v>129</v>
      </c>
    </row>
    <row r="47" spans="1:10" ht="30" customHeight="1" thickTop="1">
      <c r="A47" s="127"/>
      <c r="B47" s="127"/>
      <c r="C47" s="127" t="s">
        <v>130</v>
      </c>
      <c r="D47" s="128" t="s">
        <v>11</v>
      </c>
      <c r="E47" s="128" t="s">
        <v>12</v>
      </c>
      <c r="F47" s="128">
        <f>D47+E47</f>
        <v>244778</v>
      </c>
      <c r="G47" s="127"/>
      <c r="H47" s="128" t="s">
        <v>13</v>
      </c>
      <c r="I47" s="127"/>
      <c r="J47" s="129" t="s">
        <v>131</v>
      </c>
    </row>
  </sheetData>
  <mergeCells count="12">
    <mergeCell ref="A45:A46"/>
    <mergeCell ref="H4:I4"/>
    <mergeCell ref="A2:J2"/>
    <mergeCell ref="A10:A11"/>
    <mergeCell ref="A42:A44"/>
    <mergeCell ref="A21:A27"/>
    <mergeCell ref="D4:G4"/>
    <mergeCell ref="A1:J1"/>
    <mergeCell ref="A7:A9"/>
    <mergeCell ref="A12:A20"/>
    <mergeCell ref="A33:A41"/>
    <mergeCell ref="A28:A32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A19" sqref="A19:F19"/>
    </sheetView>
  </sheetViews>
  <sheetFormatPr baseColWidth="10" defaultColWidth="8.83203125" defaultRowHeight="17"/>
  <cols>
    <col min="1" max="1" width="22" customWidth="1"/>
    <col min="2" max="2" width="18" customWidth="1"/>
    <col min="3" max="3" width="12" customWidth="1"/>
    <col min="4" max="4" width="18" customWidth="1"/>
    <col min="5" max="5" width="12" customWidth="1"/>
    <col min="6" max="6" width="25" customWidth="1"/>
  </cols>
  <sheetData>
    <row r="1" spans="1:6" ht="35" customHeight="1">
      <c r="A1" s="39" t="s">
        <v>391</v>
      </c>
      <c r="B1" s="32"/>
      <c r="C1" s="32"/>
      <c r="D1" s="32"/>
      <c r="E1" s="32"/>
      <c r="F1" s="32"/>
    </row>
    <row r="3" spans="1:6" ht="28" customHeight="1">
      <c r="A3" s="1" t="s">
        <v>207</v>
      </c>
      <c r="B3" s="1" t="s">
        <v>392</v>
      </c>
      <c r="C3" s="1" t="s">
        <v>393</v>
      </c>
      <c r="D3" s="1" t="s">
        <v>394</v>
      </c>
      <c r="E3" s="1" t="s">
        <v>393</v>
      </c>
      <c r="F3" s="1" t="s">
        <v>395</v>
      </c>
    </row>
    <row r="4" spans="1:6" ht="25" customHeight="1">
      <c r="A4" s="2" t="s">
        <v>214</v>
      </c>
      <c r="B4" s="6" t="s">
        <v>216</v>
      </c>
      <c r="C4" s="5" t="s">
        <v>396</v>
      </c>
      <c r="D4" s="6" t="s">
        <v>217</v>
      </c>
      <c r="E4" s="5" t="s">
        <v>397</v>
      </c>
      <c r="F4" s="8" t="s">
        <v>398</v>
      </c>
    </row>
    <row r="5" spans="1:6" ht="25" customHeight="1">
      <c r="A5" s="2" t="s">
        <v>165</v>
      </c>
      <c r="B5" s="6" t="s">
        <v>399</v>
      </c>
      <c r="C5" s="5" t="s">
        <v>400</v>
      </c>
      <c r="D5" s="6" t="s">
        <v>401</v>
      </c>
      <c r="E5" s="5" t="s">
        <v>402</v>
      </c>
      <c r="F5" s="8" t="s">
        <v>403</v>
      </c>
    </row>
    <row r="6" spans="1:6" ht="25" customHeight="1">
      <c r="A6" s="2" t="s">
        <v>94</v>
      </c>
      <c r="B6" s="6" t="s">
        <v>404</v>
      </c>
      <c r="C6" s="5" t="s">
        <v>405</v>
      </c>
      <c r="D6" s="6" t="s">
        <v>406</v>
      </c>
      <c r="E6" s="5" t="s">
        <v>407</v>
      </c>
      <c r="F6" s="8" t="s">
        <v>408</v>
      </c>
    </row>
    <row r="7" spans="1:6" ht="25" customHeight="1">
      <c r="A7" s="2" t="s">
        <v>263</v>
      </c>
      <c r="B7" s="6" t="s">
        <v>409</v>
      </c>
      <c r="C7" s="5" t="s">
        <v>410</v>
      </c>
      <c r="D7" s="6" t="s">
        <v>411</v>
      </c>
      <c r="E7" s="5" t="s">
        <v>412</v>
      </c>
      <c r="F7" s="8" t="s">
        <v>413</v>
      </c>
    </row>
    <row r="8" spans="1:6" ht="25" customHeight="1">
      <c r="A8" s="12" t="s">
        <v>283</v>
      </c>
      <c r="B8" s="13" t="s">
        <v>414</v>
      </c>
      <c r="C8" s="14" t="s">
        <v>415</v>
      </c>
      <c r="D8" s="13" t="s">
        <v>416</v>
      </c>
      <c r="E8" s="14" t="s">
        <v>417</v>
      </c>
      <c r="F8" s="15" t="s">
        <v>418</v>
      </c>
    </row>
    <row r="9" spans="1:6" ht="25" customHeight="1">
      <c r="A9" s="2" t="s">
        <v>327</v>
      </c>
      <c r="B9" s="6" t="s">
        <v>419</v>
      </c>
      <c r="C9" s="5" t="s">
        <v>420</v>
      </c>
      <c r="D9" s="6" t="s">
        <v>421</v>
      </c>
      <c r="E9" s="5" t="s">
        <v>422</v>
      </c>
      <c r="F9" s="8" t="s">
        <v>423</v>
      </c>
    </row>
    <row r="10" spans="1:6" ht="25" customHeight="1">
      <c r="A10" s="2" t="s">
        <v>336</v>
      </c>
      <c r="B10" s="6" t="s">
        <v>424</v>
      </c>
      <c r="C10" s="5" t="s">
        <v>425</v>
      </c>
      <c r="D10" s="6" t="s">
        <v>426</v>
      </c>
      <c r="E10" s="5" t="s">
        <v>427</v>
      </c>
      <c r="F10" s="8" t="s">
        <v>428</v>
      </c>
    </row>
    <row r="11" spans="1:6" ht="25" customHeight="1">
      <c r="A11" s="2" t="s">
        <v>358</v>
      </c>
      <c r="B11" s="6" t="s">
        <v>429</v>
      </c>
      <c r="C11" s="5" t="s">
        <v>412</v>
      </c>
      <c r="D11" s="6" t="s">
        <v>430</v>
      </c>
      <c r="E11" s="5" t="s">
        <v>431</v>
      </c>
      <c r="F11" s="8" t="s">
        <v>432</v>
      </c>
    </row>
    <row r="12" spans="1:6" ht="25" customHeight="1">
      <c r="A12" s="2" t="s">
        <v>433</v>
      </c>
      <c r="B12" s="6" t="s">
        <v>434</v>
      </c>
      <c r="C12" s="5" t="s">
        <v>435</v>
      </c>
      <c r="D12" s="6" t="s">
        <v>436</v>
      </c>
      <c r="E12" s="5" t="s">
        <v>437</v>
      </c>
      <c r="F12" s="8" t="s">
        <v>438</v>
      </c>
    </row>
    <row r="13" spans="1:6" ht="30" customHeight="1">
      <c r="A13" s="11" t="s">
        <v>8</v>
      </c>
      <c r="B13" s="11" t="s">
        <v>13</v>
      </c>
      <c r="C13" s="11" t="s">
        <v>439</v>
      </c>
      <c r="D13" s="11" t="s">
        <v>12</v>
      </c>
      <c r="E13" s="11" t="s">
        <v>439</v>
      </c>
      <c r="F13" s="11" t="s">
        <v>440</v>
      </c>
    </row>
    <row r="15" spans="1:6" ht="18">
      <c r="A15" s="40" t="s">
        <v>441</v>
      </c>
      <c r="B15" s="32"/>
      <c r="C15" s="32"/>
      <c r="D15" s="32"/>
      <c r="E15" s="32"/>
      <c r="F15" s="32"/>
    </row>
    <row r="16" spans="1:6" ht="22" customHeight="1">
      <c r="A16" s="44" t="s">
        <v>442</v>
      </c>
      <c r="B16" s="32"/>
      <c r="C16" s="32"/>
      <c r="D16" s="32"/>
      <c r="E16" s="32"/>
      <c r="F16" s="32"/>
    </row>
    <row r="17" spans="1:6" ht="22" customHeight="1">
      <c r="A17" s="44" t="s">
        <v>443</v>
      </c>
      <c r="B17" s="32"/>
      <c r="C17" s="32"/>
      <c r="D17" s="32"/>
      <c r="E17" s="32"/>
      <c r="F17" s="32"/>
    </row>
    <row r="18" spans="1:6" ht="22" customHeight="1">
      <c r="A18" s="44" t="s">
        <v>444</v>
      </c>
      <c r="B18" s="32"/>
      <c r="C18" s="32"/>
      <c r="D18" s="32"/>
      <c r="E18" s="32"/>
      <c r="F18" s="32"/>
    </row>
    <row r="19" spans="1:6" ht="22" customHeight="1">
      <c r="A19" s="44" t="s">
        <v>445</v>
      </c>
      <c r="B19" s="32"/>
      <c r="C19" s="32"/>
      <c r="D19" s="32"/>
      <c r="E19" s="32"/>
      <c r="F19" s="32"/>
    </row>
    <row r="20" spans="1:6" ht="22" customHeight="1">
      <c r="A20" s="44" t="s">
        <v>446</v>
      </c>
      <c r="B20" s="32"/>
      <c r="C20" s="32"/>
      <c r="D20" s="32"/>
      <c r="E20" s="32"/>
      <c r="F20" s="32"/>
    </row>
    <row r="21" spans="1:6" ht="22" customHeight="1">
      <c r="A21" s="44" t="s">
        <v>447</v>
      </c>
      <c r="B21" s="32"/>
      <c r="C21" s="32"/>
      <c r="D21" s="32"/>
      <c r="E21" s="32"/>
      <c r="F21" s="32"/>
    </row>
    <row r="22" spans="1:6" ht="22" customHeight="1">
      <c r="A22" s="44" t="s">
        <v>448</v>
      </c>
      <c r="B22" s="32"/>
      <c r="C22" s="32"/>
      <c r="D22" s="32"/>
      <c r="E22" s="32"/>
      <c r="F22" s="32"/>
    </row>
  </sheetData>
  <mergeCells count="9">
    <mergeCell ref="A16:F16"/>
    <mergeCell ref="A19:F19"/>
    <mergeCell ref="A1:F1"/>
    <mergeCell ref="A22:F22"/>
    <mergeCell ref="A17:F17"/>
    <mergeCell ref="A18:F18"/>
    <mergeCell ref="A20:F20"/>
    <mergeCell ref="A21:F21"/>
    <mergeCell ref="A15:F15"/>
  </mergeCells>
  <phoneticPr fontId="1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7090-85D4-8F47-BA36-9A17FF97BA00}">
  <dimension ref="A1:D21"/>
  <sheetViews>
    <sheetView workbookViewId="0">
      <selection activeCell="C14" sqref="C14"/>
    </sheetView>
  </sheetViews>
  <sheetFormatPr baseColWidth="10" defaultColWidth="8.83203125" defaultRowHeight="17"/>
  <cols>
    <col min="1" max="1" width="5" customWidth="1"/>
    <col min="2" max="2" width="16" customWidth="1"/>
    <col min="3" max="3" width="50" customWidth="1"/>
    <col min="4" max="4" width="45" customWidth="1"/>
  </cols>
  <sheetData>
    <row r="1" spans="1:4" ht="35" customHeight="1">
      <c r="A1" s="64" t="s">
        <v>581</v>
      </c>
      <c r="B1" s="32"/>
      <c r="C1" s="32"/>
      <c r="D1" s="32"/>
    </row>
    <row r="2" spans="1:4">
      <c r="A2" s="63" t="s">
        <v>580</v>
      </c>
      <c r="B2" s="32"/>
      <c r="C2" s="32"/>
      <c r="D2" s="32"/>
    </row>
    <row r="4" spans="1:4" ht="28" customHeight="1">
      <c r="A4" s="60" t="s">
        <v>533</v>
      </c>
      <c r="B4" s="60" t="s">
        <v>579</v>
      </c>
      <c r="C4" s="60" t="s">
        <v>578</v>
      </c>
      <c r="D4" s="60" t="s">
        <v>577</v>
      </c>
    </row>
    <row r="5" spans="1:4" ht="35" customHeight="1">
      <c r="A5" s="51" t="s">
        <v>530</v>
      </c>
      <c r="B5" s="66" t="s">
        <v>572</v>
      </c>
      <c r="C5" s="65" t="s">
        <v>576</v>
      </c>
      <c r="D5" s="49" t="s">
        <v>575</v>
      </c>
    </row>
    <row r="6" spans="1:4" ht="35" customHeight="1">
      <c r="A6" s="51" t="s">
        <v>109</v>
      </c>
      <c r="B6" s="66" t="s">
        <v>572</v>
      </c>
      <c r="C6" s="65" t="s">
        <v>574</v>
      </c>
      <c r="D6" s="49" t="s">
        <v>573</v>
      </c>
    </row>
    <row r="7" spans="1:4" ht="35" customHeight="1">
      <c r="A7" s="51" t="s">
        <v>527</v>
      </c>
      <c r="B7" s="66" t="s">
        <v>572</v>
      </c>
      <c r="C7" s="65" t="s">
        <v>571</v>
      </c>
      <c r="D7" s="49" t="s">
        <v>570</v>
      </c>
    </row>
    <row r="8" spans="1:4" ht="35" customHeight="1">
      <c r="A8" s="51" t="s">
        <v>525</v>
      </c>
      <c r="B8" s="66" t="s">
        <v>565</v>
      </c>
      <c r="C8" s="65" t="s">
        <v>569</v>
      </c>
      <c r="D8" s="49" t="s">
        <v>568</v>
      </c>
    </row>
    <row r="9" spans="1:4" ht="35" customHeight="1">
      <c r="A9" s="51" t="s">
        <v>523</v>
      </c>
      <c r="B9" s="66" t="s">
        <v>565</v>
      </c>
      <c r="C9" s="65" t="s">
        <v>567</v>
      </c>
      <c r="D9" s="49" t="s">
        <v>566</v>
      </c>
    </row>
    <row r="10" spans="1:4" ht="35" customHeight="1">
      <c r="A10" s="51" t="s">
        <v>520</v>
      </c>
      <c r="B10" s="66" t="s">
        <v>565</v>
      </c>
      <c r="C10" s="65" t="s">
        <v>564</v>
      </c>
      <c r="D10" s="49" t="s">
        <v>563</v>
      </c>
    </row>
    <row r="11" spans="1:4" ht="35" customHeight="1">
      <c r="A11" s="51" t="s">
        <v>518</v>
      </c>
      <c r="B11" s="66" t="s">
        <v>560</v>
      </c>
      <c r="C11" s="65" t="s">
        <v>562</v>
      </c>
      <c r="D11" s="49" t="s">
        <v>561</v>
      </c>
    </row>
    <row r="12" spans="1:4" ht="35" customHeight="1">
      <c r="A12" s="51" t="s">
        <v>516</v>
      </c>
      <c r="B12" s="66" t="s">
        <v>560</v>
      </c>
      <c r="C12" s="65" t="s">
        <v>559</v>
      </c>
      <c r="D12" s="49" t="s">
        <v>558</v>
      </c>
    </row>
    <row r="13" spans="1:4" ht="35" customHeight="1">
      <c r="A13" s="51" t="s">
        <v>514</v>
      </c>
      <c r="B13" s="66" t="s">
        <v>476</v>
      </c>
      <c r="C13" s="65" t="s">
        <v>557</v>
      </c>
      <c r="D13" s="49" t="s">
        <v>556</v>
      </c>
    </row>
    <row r="14" spans="1:4" ht="35" customHeight="1">
      <c r="A14" s="51" t="s">
        <v>512</v>
      </c>
      <c r="B14" s="66" t="s">
        <v>551</v>
      </c>
      <c r="C14" s="65" t="s">
        <v>555</v>
      </c>
      <c r="D14" s="49" t="s">
        <v>554</v>
      </c>
    </row>
    <row r="15" spans="1:4" ht="35" customHeight="1">
      <c r="A15" s="51" t="s">
        <v>509</v>
      </c>
      <c r="B15" s="66" t="s">
        <v>551</v>
      </c>
      <c r="C15" s="65" t="s">
        <v>553</v>
      </c>
      <c r="D15" s="49" t="s">
        <v>552</v>
      </c>
    </row>
    <row r="16" spans="1:4" ht="35" customHeight="1">
      <c r="A16" s="51" t="s">
        <v>507</v>
      </c>
      <c r="B16" s="66" t="s">
        <v>551</v>
      </c>
      <c r="C16" s="65" t="s">
        <v>550</v>
      </c>
      <c r="D16" s="49" t="s">
        <v>549</v>
      </c>
    </row>
    <row r="17" spans="1:4" ht="35" customHeight="1">
      <c r="A17" s="51" t="s">
        <v>505</v>
      </c>
      <c r="B17" s="66" t="s">
        <v>548</v>
      </c>
      <c r="C17" s="65" t="s">
        <v>547</v>
      </c>
      <c r="D17" s="49" t="s">
        <v>546</v>
      </c>
    </row>
    <row r="18" spans="1:4" ht="35" customHeight="1">
      <c r="A18" s="51" t="s">
        <v>502</v>
      </c>
      <c r="B18" s="66" t="s">
        <v>543</v>
      </c>
      <c r="C18" s="65" t="s">
        <v>545</v>
      </c>
      <c r="D18" s="49" t="s">
        <v>544</v>
      </c>
    </row>
    <row r="19" spans="1:4" ht="35" customHeight="1">
      <c r="A19" s="51" t="s">
        <v>498</v>
      </c>
      <c r="B19" s="66" t="s">
        <v>543</v>
      </c>
      <c r="C19" s="65" t="s">
        <v>542</v>
      </c>
      <c r="D19" s="49" t="s">
        <v>541</v>
      </c>
    </row>
    <row r="20" spans="1:4" ht="35" customHeight="1">
      <c r="A20" s="51" t="s">
        <v>367</v>
      </c>
      <c r="B20" s="66" t="s">
        <v>540</v>
      </c>
      <c r="C20" s="65" t="s">
        <v>539</v>
      </c>
      <c r="D20" s="49" t="s">
        <v>538</v>
      </c>
    </row>
    <row r="21" spans="1:4" ht="35" customHeight="1">
      <c r="A21" s="51" t="s">
        <v>495</v>
      </c>
      <c r="B21" s="66" t="s">
        <v>537</v>
      </c>
      <c r="C21" s="65" t="s">
        <v>536</v>
      </c>
      <c r="D21" s="49" t="s">
        <v>535</v>
      </c>
    </row>
  </sheetData>
  <mergeCells count="2">
    <mergeCell ref="A1:D1"/>
    <mergeCell ref="A2:D2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가입개요 비교</vt:lpstr>
      <vt:lpstr>보장분석 체크리스트</vt:lpstr>
      <vt:lpstr>보장항목 비교</vt:lpstr>
      <vt:lpstr>보장분석표</vt:lpstr>
      <vt:lpstr>보험료 구성</vt:lpstr>
      <vt:lpstr>설계사 질문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2026-03-29T07:37:33Z</dcterms:created>
  <dcterms:modified xsi:type="dcterms:W3CDTF">2026-03-29T09:37:02Z</dcterms:modified>
</cp:coreProperties>
</file>